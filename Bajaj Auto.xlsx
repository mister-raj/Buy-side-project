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er\Desktop\Models\M&amp;A\Buy side Project\"/>
    </mc:Choice>
  </mc:AlternateContent>
  <xr:revisionPtr revIDLastSave="0" documentId="13_ncr:1_{BE80CFB7-4B18-4C0F-8386-46D83BD6C37B}" xr6:coauthVersionLast="47" xr6:coauthVersionMax="47" xr10:uidLastSave="{00000000-0000-0000-0000-000000000000}"/>
  <bookViews>
    <workbookView xWindow="-108" yWindow="-108" windowWidth="23256" windowHeight="12456" firstSheet="2" activeTab="7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Data Sheet" sheetId="6" r:id="rId5"/>
    <sheet name="Valuation" sheetId="7" r:id="rId6"/>
    <sheet name="Forecast working capital" sheetId="8" r:id="rId7"/>
    <sheet name="Post merger" sheetId="9" r:id="rId8"/>
    <sheet name="Synergy" sheetId="10" r:id="rId9"/>
  </sheets>
  <externalReferences>
    <externalReference r:id="rId10"/>
  </externalReference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10" i="10" l="1"/>
  <c r="B8" i="10"/>
  <c r="E8" i="10"/>
  <c r="D8" i="10"/>
  <c r="C8" i="10"/>
  <c r="G71" i="9"/>
  <c r="C71" i="9"/>
  <c r="D71" i="9"/>
  <c r="E71" i="9"/>
  <c r="F71" i="9"/>
  <c r="B71" i="9"/>
  <c r="B34" i="9"/>
  <c r="B94" i="9" s="1"/>
  <c r="C94" i="9" s="1"/>
  <c r="D94" i="9" s="1"/>
  <c r="E94" i="9" s="1"/>
  <c r="F94" i="9" s="1"/>
  <c r="G94" i="9" s="1"/>
  <c r="B35" i="9"/>
  <c r="B62" i="9" s="1"/>
  <c r="B36" i="9"/>
  <c r="B63" i="9" s="1"/>
  <c r="C10" i="9"/>
  <c r="E10" i="9" s="1"/>
  <c r="C11" i="9"/>
  <c r="E11" i="9"/>
  <c r="G11" i="9"/>
  <c r="C12" i="9"/>
  <c r="E12" i="9"/>
  <c r="G12" i="9"/>
  <c r="B13" i="9"/>
  <c r="B16" i="9" s="1"/>
  <c r="C13" i="9"/>
  <c r="C14" i="9"/>
  <c r="E14" i="9"/>
  <c r="G14" i="9"/>
  <c r="C15" i="9"/>
  <c r="E15" i="9"/>
  <c r="G15" i="9"/>
  <c r="B17" i="9"/>
  <c r="C17" i="9" s="1"/>
  <c r="E17" i="9" s="1"/>
  <c r="G17" i="9" s="1"/>
  <c r="B18" i="9"/>
  <c r="C18" i="9" s="1"/>
  <c r="E18" i="9" s="1"/>
  <c r="G18" i="9" s="1"/>
  <c r="C23" i="9"/>
  <c r="E23" i="9"/>
  <c r="G23" i="9"/>
  <c r="C25" i="9"/>
  <c r="G27" i="9"/>
  <c r="B50" i="9"/>
  <c r="B51" i="9"/>
  <c r="B52" i="9"/>
  <c r="B65" i="9"/>
  <c r="B66" i="9"/>
  <c r="B99" i="9" s="1"/>
  <c r="C99" i="9" s="1"/>
  <c r="D99" i="9" s="1"/>
  <c r="E99" i="9" s="1"/>
  <c r="F99" i="9" s="1"/>
  <c r="G99" i="9" s="1"/>
  <c r="C66" i="9"/>
  <c r="D66" i="9" s="1"/>
  <c r="E66" i="9" s="1"/>
  <c r="F66" i="9" s="1"/>
  <c r="G66" i="9" s="1"/>
  <c r="B67" i="9"/>
  <c r="C67" i="9" s="1"/>
  <c r="D67" i="9" s="1"/>
  <c r="E67" i="9" s="1"/>
  <c r="F67" i="9" s="1"/>
  <c r="G67" i="9" s="1"/>
  <c r="B68" i="9"/>
  <c r="B101" i="9" s="1"/>
  <c r="C101" i="9" s="1"/>
  <c r="D101" i="9" s="1"/>
  <c r="E101" i="9" s="1"/>
  <c r="F101" i="9" s="1"/>
  <c r="G101" i="9" s="1"/>
  <c r="C68" i="9"/>
  <c r="D68" i="9" s="1"/>
  <c r="E68" i="9" s="1"/>
  <c r="F68" i="9" s="1"/>
  <c r="G68" i="9" s="1"/>
  <c r="B69" i="9"/>
  <c r="B70" i="9"/>
  <c r="B72" i="9"/>
  <c r="B77" i="9"/>
  <c r="B78" i="9"/>
  <c r="C78" i="9"/>
  <c r="D78" i="9"/>
  <c r="E78" i="9"/>
  <c r="F78" i="9"/>
  <c r="G78" i="9"/>
  <c r="B98" i="9"/>
  <c r="B100" i="9"/>
  <c r="C100" i="9" s="1"/>
  <c r="D100" i="9" s="1"/>
  <c r="E100" i="9" s="1"/>
  <c r="F100" i="9" s="1"/>
  <c r="G100" i="9" s="1"/>
  <c r="B102" i="9"/>
  <c r="B103" i="9"/>
  <c r="B105" i="9"/>
  <c r="B111" i="9"/>
  <c r="C111" i="9"/>
  <c r="D111" i="9"/>
  <c r="E111" i="9"/>
  <c r="F111" i="9"/>
  <c r="G111" i="9" s="1"/>
  <c r="O81" i="9"/>
  <c r="N81" i="9"/>
  <c r="P108" i="9"/>
  <c r="Q108" i="9" s="1"/>
  <c r="N108" i="9"/>
  <c r="O108" i="9" s="1"/>
  <c r="O71" i="9"/>
  <c r="L55" i="9"/>
  <c r="M12" i="9"/>
  <c r="M23" i="9" s="1"/>
  <c r="L12" i="9"/>
  <c r="L23" i="9" s="1"/>
  <c r="M13" i="9"/>
  <c r="N13" i="9" s="1"/>
  <c r="M48" i="9" s="1"/>
  <c r="L13" i="9"/>
  <c r="L48" i="9" s="1"/>
  <c r="M9" i="9"/>
  <c r="N9" i="9" s="1"/>
  <c r="M45" i="9" s="1"/>
  <c r="L9" i="9"/>
  <c r="L98" i="9" s="1"/>
  <c r="B138" i="9"/>
  <c r="B136" i="9"/>
  <c r="B135" i="9"/>
  <c r="B133" i="9"/>
  <c r="C133" i="9" s="1"/>
  <c r="D133" i="9" s="1"/>
  <c r="E133" i="9" s="1"/>
  <c r="F133" i="9" s="1"/>
  <c r="G133" i="9" s="1"/>
  <c r="B132" i="9"/>
  <c r="C132" i="9" s="1"/>
  <c r="D132" i="9" s="1"/>
  <c r="E132" i="9" s="1"/>
  <c r="F132" i="9" s="1"/>
  <c r="G132" i="9" s="1"/>
  <c r="B131" i="9"/>
  <c r="C131" i="9" s="1"/>
  <c r="D131" i="9" s="1"/>
  <c r="E131" i="9" s="1"/>
  <c r="F131" i="9" s="1"/>
  <c r="G131" i="9" s="1"/>
  <c r="B130" i="9"/>
  <c r="B144" i="9"/>
  <c r="B145" i="9"/>
  <c r="C145" i="9" s="1"/>
  <c r="D145" i="9" s="1"/>
  <c r="E145" i="9" s="1"/>
  <c r="F145" i="9" s="1"/>
  <c r="G145" i="9" s="1"/>
  <c r="C16" i="9" l="1"/>
  <c r="B128" i="9"/>
  <c r="B109" i="9"/>
  <c r="B96" i="9"/>
  <c r="B47" i="9"/>
  <c r="B37" i="9"/>
  <c r="B43" i="9" s="1"/>
  <c r="B45" i="9" s="1"/>
  <c r="B46" i="9" s="1"/>
  <c r="B126" i="9"/>
  <c r="B95" i="9"/>
  <c r="B97" i="9" s="1"/>
  <c r="C97" i="9" s="1"/>
  <c r="D97" i="9" s="1"/>
  <c r="E97" i="9" s="1"/>
  <c r="F97" i="9" s="1"/>
  <c r="G97" i="9" s="1"/>
  <c r="C19" i="9"/>
  <c r="E19" i="9" s="1"/>
  <c r="G19" i="9" s="1"/>
  <c r="E16" i="9"/>
  <c r="G16" i="9" s="1"/>
  <c r="F22" i="9"/>
  <c r="D23" i="9"/>
  <c r="B19" i="9"/>
  <c r="H22" i="9"/>
  <c r="F23" i="9"/>
  <c r="H23" i="9"/>
  <c r="D22" i="9"/>
  <c r="C109" i="9"/>
  <c r="D109" i="9" s="1"/>
  <c r="E109" i="9" s="1"/>
  <c r="F109" i="9" s="1"/>
  <c r="G109" i="9" s="1"/>
  <c r="G10" i="9"/>
  <c r="G25" i="9" s="1"/>
  <c r="E25" i="9"/>
  <c r="C26" i="9"/>
  <c r="C27" i="9" s="1"/>
  <c r="B79" i="9" s="1"/>
  <c r="E13" i="9"/>
  <c r="B61" i="9"/>
  <c r="B127" i="9"/>
  <c r="M101" i="9"/>
  <c r="M98" i="9"/>
  <c r="O98" i="9" s="1"/>
  <c r="L101" i="9"/>
  <c r="L71" i="9"/>
  <c r="O77" i="9" s="1"/>
  <c r="M71" i="9"/>
  <c r="N71" i="9" s="1"/>
  <c r="M74" i="9"/>
  <c r="O76" i="9" s="1"/>
  <c r="L74" i="9"/>
  <c r="M22" i="9"/>
  <c r="M24" i="9" s="1"/>
  <c r="L25" i="9"/>
  <c r="M25" i="9"/>
  <c r="L45" i="9"/>
  <c r="L51" i="9" s="1"/>
  <c r="L22" i="9"/>
  <c r="L11" i="9"/>
  <c r="L10" i="9" s="1"/>
  <c r="N98" i="9"/>
  <c r="M11" i="9"/>
  <c r="M10" i="9" s="1"/>
  <c r="O13" i="9"/>
  <c r="O8" i="9"/>
  <c r="P9" i="9"/>
  <c r="B146" i="9"/>
  <c r="C144" i="9"/>
  <c r="N43" i="7"/>
  <c r="I47" i="7"/>
  <c r="I42" i="7"/>
  <c r="I40" i="7"/>
  <c r="N46" i="7"/>
  <c r="F32" i="7"/>
  <c r="C26" i="2"/>
  <c r="D26" i="2"/>
  <c r="E26" i="2"/>
  <c r="F26" i="2"/>
  <c r="G26" i="2"/>
  <c r="H26" i="2"/>
  <c r="E21" i="7"/>
  <c r="F21" i="7"/>
  <c r="D21" i="7"/>
  <c r="J26" i="2"/>
  <c r="K26" i="2"/>
  <c r="I26" i="2"/>
  <c r="E20" i="7"/>
  <c r="F20" i="7"/>
  <c r="D20" i="7"/>
  <c r="H13" i="7"/>
  <c r="H19" i="7" s="1"/>
  <c r="L26" i="6"/>
  <c r="G34" i="6"/>
  <c r="H34" i="6"/>
  <c r="E13" i="7"/>
  <c r="F13" i="7"/>
  <c r="F19" i="7" s="1"/>
  <c r="D13" i="7"/>
  <c r="D19" i="7" s="1"/>
  <c r="E10" i="7"/>
  <c r="F10" i="7"/>
  <c r="D10" i="7"/>
  <c r="E7" i="7"/>
  <c r="F7" i="7"/>
  <c r="D7" i="7"/>
  <c r="J33" i="6"/>
  <c r="K33" i="6"/>
  <c r="J34" i="6"/>
  <c r="K34" i="6"/>
  <c r="I34" i="6"/>
  <c r="I33" i="6"/>
  <c r="H6" i="7"/>
  <c r="I6" i="7" s="1"/>
  <c r="J6" i="7" s="1"/>
  <c r="K6" i="7" s="1"/>
  <c r="L6" i="7" s="1"/>
  <c r="M6" i="7" s="1"/>
  <c r="E5" i="7"/>
  <c r="F5" i="7"/>
  <c r="H5" i="7" s="1"/>
  <c r="H10" i="7" s="1"/>
  <c r="D5" i="7"/>
  <c r="A51" i="7"/>
  <c r="K46" i="7"/>
  <c r="A42" i="7"/>
  <c r="K39" i="7"/>
  <c r="C34" i="7"/>
  <c r="F33" i="7"/>
  <c r="C32" i="7"/>
  <c r="H20" i="7"/>
  <c r="J20" i="7" s="1"/>
  <c r="L20" i="7" s="1"/>
  <c r="E19" i="7"/>
  <c r="D8" i="7"/>
  <c r="D4" i="7"/>
  <c r="C6" i="3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J6" i="1" s="1"/>
  <c r="J19" i="1" s="1"/>
  <c r="K5" i="1"/>
  <c r="B5" i="1"/>
  <c r="D13" i="1" s="1"/>
  <c r="E13" i="1" s="1"/>
  <c r="C13" i="1"/>
  <c r="F13" i="1"/>
  <c r="F14" i="1" s="1"/>
  <c r="G13" i="1"/>
  <c r="G14" i="1" s="1"/>
  <c r="B13" i="1"/>
  <c r="B6" i="6"/>
  <c r="C17" i="2"/>
  <c r="D17" i="2"/>
  <c r="E17" i="2"/>
  <c r="F17" i="2"/>
  <c r="G17" i="2"/>
  <c r="H17" i="2"/>
  <c r="I17" i="2"/>
  <c r="J17" i="2"/>
  <c r="J20" i="2" s="1"/>
  <c r="K17" i="2"/>
  <c r="C18" i="2"/>
  <c r="D18" i="2"/>
  <c r="E18" i="2"/>
  <c r="F18" i="2"/>
  <c r="G18" i="2"/>
  <c r="H18" i="2"/>
  <c r="I18" i="2"/>
  <c r="J18" i="2"/>
  <c r="J21" i="2" s="1"/>
  <c r="K18" i="2"/>
  <c r="K21" i="2" s="1"/>
  <c r="B17" i="2"/>
  <c r="C4" i="2"/>
  <c r="D4" i="2"/>
  <c r="E24" i="2" s="1"/>
  <c r="E4" i="2"/>
  <c r="E23" i="2" s="1"/>
  <c r="E5" i="2"/>
  <c r="F4" i="2"/>
  <c r="G4" i="2"/>
  <c r="H4" i="2"/>
  <c r="I4" i="2"/>
  <c r="I5" i="2"/>
  <c r="J4" i="2"/>
  <c r="J5" i="2"/>
  <c r="K4" i="2"/>
  <c r="K23" i="2" s="1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F13" i="2"/>
  <c r="G13" i="2"/>
  <c r="H13" i="2"/>
  <c r="I13" i="2"/>
  <c r="J13" i="2"/>
  <c r="K13" i="2"/>
  <c r="K16" i="2" s="1"/>
  <c r="C14" i="2"/>
  <c r="D14" i="2"/>
  <c r="E14" i="2"/>
  <c r="F14" i="2"/>
  <c r="G14" i="2"/>
  <c r="H14" i="2"/>
  <c r="I14" i="2"/>
  <c r="J14" i="2"/>
  <c r="K14" i="2"/>
  <c r="B14" i="2"/>
  <c r="B5" i="2"/>
  <c r="B4" i="2"/>
  <c r="B23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E14" i="3" s="1"/>
  <c r="F4" i="3"/>
  <c r="G4" i="3"/>
  <c r="H4" i="3"/>
  <c r="I4" i="3"/>
  <c r="L4" i="1" s="1"/>
  <c r="L23" i="1" s="1"/>
  <c r="J4" i="3"/>
  <c r="K4" i="3"/>
  <c r="C5" i="3"/>
  <c r="D5" i="3"/>
  <c r="E5" i="3"/>
  <c r="F5" i="3"/>
  <c r="G5" i="3"/>
  <c r="H5" i="3"/>
  <c r="L5" i="1" s="1"/>
  <c r="I5" i="3"/>
  <c r="J5" i="3"/>
  <c r="K5" i="3"/>
  <c r="C7" i="3"/>
  <c r="D7" i="3"/>
  <c r="E7" i="3"/>
  <c r="F7" i="3"/>
  <c r="G7" i="3"/>
  <c r="H7" i="3"/>
  <c r="I7" i="3"/>
  <c r="J7" i="3"/>
  <c r="K7" i="3"/>
  <c r="C8" i="3"/>
  <c r="D8" i="3"/>
  <c r="E8" i="3"/>
  <c r="F8" i="3"/>
  <c r="G8" i="3"/>
  <c r="H8" i="3"/>
  <c r="I8" i="3"/>
  <c r="J8" i="3"/>
  <c r="K8" i="3"/>
  <c r="C9" i="3"/>
  <c r="D9" i="3"/>
  <c r="E9" i="3"/>
  <c r="F9" i="3"/>
  <c r="G9" i="3"/>
  <c r="H9" i="3"/>
  <c r="I9" i="3"/>
  <c r="J9" i="3"/>
  <c r="K9" i="3"/>
  <c r="C10" i="3"/>
  <c r="D10" i="3"/>
  <c r="E10" i="3"/>
  <c r="F10" i="3"/>
  <c r="G10" i="3"/>
  <c r="H10" i="3"/>
  <c r="L10" i="1" s="1"/>
  <c r="I10" i="3"/>
  <c r="J10" i="3"/>
  <c r="K10" i="3"/>
  <c r="C11" i="3"/>
  <c r="D11" i="3"/>
  <c r="E11" i="3"/>
  <c r="F11" i="3"/>
  <c r="G11" i="3"/>
  <c r="H11" i="3"/>
  <c r="I11" i="3"/>
  <c r="J11" i="3"/>
  <c r="K11" i="3"/>
  <c r="L11" i="1" s="1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C21" i="2" s="1"/>
  <c r="D4" i="1"/>
  <c r="D20" i="2" s="1"/>
  <c r="E4" i="1"/>
  <c r="E20" i="2" s="1"/>
  <c r="F4" i="1"/>
  <c r="F20" i="2" s="1"/>
  <c r="G4" i="1"/>
  <c r="H4" i="1"/>
  <c r="I4" i="1"/>
  <c r="J4" i="1"/>
  <c r="K4" i="1"/>
  <c r="K20" i="2" s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F23" i="2" s="1"/>
  <c r="G12" i="1"/>
  <c r="G23" i="2" s="1"/>
  <c r="H12" i="1"/>
  <c r="H13" i="1" s="1"/>
  <c r="I12" i="1"/>
  <c r="I13" i="1" s="1"/>
  <c r="J12" i="1"/>
  <c r="J13" i="1" s="1"/>
  <c r="K12" i="1"/>
  <c r="K13" i="1" s="1"/>
  <c r="C15" i="1"/>
  <c r="C14" i="1" s="1"/>
  <c r="D15" i="1"/>
  <c r="E15" i="1"/>
  <c r="F15" i="1"/>
  <c r="G15" i="1"/>
  <c r="H15" i="1"/>
  <c r="I15" i="1"/>
  <c r="J15" i="1"/>
  <c r="K15" i="1"/>
  <c r="B15" i="1"/>
  <c r="B14" i="1" s="1"/>
  <c r="B7" i="1"/>
  <c r="B4" i="1"/>
  <c r="A1" i="1"/>
  <c r="A1" i="3" s="1"/>
  <c r="E1" i="6"/>
  <c r="H1" i="1" s="1"/>
  <c r="H16" i="2"/>
  <c r="D16" i="2"/>
  <c r="C16" i="2"/>
  <c r="F16" i="2"/>
  <c r="E6" i="1"/>
  <c r="E19" i="1"/>
  <c r="H23" i="2"/>
  <c r="D23" i="2"/>
  <c r="G6" i="1"/>
  <c r="G19" i="1" s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I21" i="2"/>
  <c r="H21" i="2"/>
  <c r="G21" i="2"/>
  <c r="E21" i="2"/>
  <c r="D21" i="2"/>
  <c r="B18" i="2"/>
  <c r="B21" i="2" s="1"/>
  <c r="B13" i="2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3" i="3"/>
  <c r="L15" i="1"/>
  <c r="B12" i="1"/>
  <c r="B11" i="1"/>
  <c r="B10" i="1"/>
  <c r="B9" i="1"/>
  <c r="B8" i="1"/>
  <c r="B3" i="1"/>
  <c r="I14" i="3"/>
  <c r="G14" i="3"/>
  <c r="G20" i="2"/>
  <c r="L12" i="1"/>
  <c r="L13" i="1" s="1"/>
  <c r="L14" i="1" s="1"/>
  <c r="L25" i="1" s="1"/>
  <c r="L6" i="1"/>
  <c r="H23" i="1"/>
  <c r="C13" i="8"/>
  <c r="C16" i="8"/>
  <c r="C11" i="8"/>
  <c r="C14" i="8"/>
  <c r="C15" i="8"/>
  <c r="C12" i="8"/>
  <c r="C126" i="9" l="1"/>
  <c r="D126" i="9" s="1"/>
  <c r="E126" i="9" s="1"/>
  <c r="F126" i="9" s="1"/>
  <c r="G126" i="9" s="1"/>
  <c r="B142" i="9"/>
  <c r="B129" i="9"/>
  <c r="C61" i="9"/>
  <c r="D61" i="9" s="1"/>
  <c r="E61" i="9" s="1"/>
  <c r="F61" i="9" s="1"/>
  <c r="G61" i="9" s="1"/>
  <c r="B76" i="9"/>
  <c r="C76" i="9" s="1"/>
  <c r="D76" i="9" s="1"/>
  <c r="E76" i="9" s="1"/>
  <c r="F76" i="9" s="1"/>
  <c r="G76" i="9" s="1"/>
  <c r="N103" i="9"/>
  <c r="O103" i="9"/>
  <c r="B64" i="9"/>
  <c r="C64" i="9" s="1"/>
  <c r="G13" i="9"/>
  <c r="G26" i="9" s="1"/>
  <c r="E26" i="9"/>
  <c r="E27" i="9" s="1"/>
  <c r="B112" i="9" s="1"/>
  <c r="C79" i="9"/>
  <c r="B80" i="9"/>
  <c r="B106" i="9"/>
  <c r="B107" i="9" s="1"/>
  <c r="O104" i="9"/>
  <c r="O105" i="9" s="1"/>
  <c r="O106" i="9" s="1"/>
  <c r="N76" i="9"/>
  <c r="Q98" i="9"/>
  <c r="P98" i="9"/>
  <c r="O78" i="9"/>
  <c r="L75" i="9"/>
  <c r="L102" i="9"/>
  <c r="L100" i="9" s="1"/>
  <c r="O74" i="9"/>
  <c r="O79" i="9"/>
  <c r="M26" i="9"/>
  <c r="M75" i="9"/>
  <c r="M73" i="9" s="1"/>
  <c r="M72" i="9" s="1"/>
  <c r="M102" i="9"/>
  <c r="L28" i="9"/>
  <c r="L29" i="9" s="1"/>
  <c r="N25" i="9" s="1"/>
  <c r="N27" i="9"/>
  <c r="L26" i="9"/>
  <c r="L49" i="9"/>
  <c r="L47" i="9" s="1"/>
  <c r="N58" i="9" s="1"/>
  <c r="P13" i="9"/>
  <c r="N104" i="9"/>
  <c r="N105" i="9" s="1"/>
  <c r="N106" i="9" s="1"/>
  <c r="N77" i="9"/>
  <c r="N78" i="9" s="1"/>
  <c r="N79" i="9" s="1"/>
  <c r="L46" i="9"/>
  <c r="N10" i="9"/>
  <c r="M49" i="9" s="1"/>
  <c r="N54" i="9" s="1"/>
  <c r="O10" i="9"/>
  <c r="P10" i="9" s="1"/>
  <c r="C146" i="9"/>
  <c r="D144" i="9"/>
  <c r="I13" i="7"/>
  <c r="F6" i="7"/>
  <c r="F8" i="7"/>
  <c r="E8" i="7"/>
  <c r="C35" i="7"/>
  <c r="D24" i="7" s="1"/>
  <c r="L26" i="7" s="1"/>
  <c r="E1" i="3"/>
  <c r="E1" i="2"/>
  <c r="E6" i="7"/>
  <c r="D9" i="7"/>
  <c r="D11" i="7"/>
  <c r="F11" i="7"/>
  <c r="F9" i="7"/>
  <c r="E9" i="7"/>
  <c r="E11" i="7"/>
  <c r="I20" i="7"/>
  <c r="K20" i="7" s="1"/>
  <c r="M20" i="7" s="1"/>
  <c r="N11" i="1"/>
  <c r="M11" i="1"/>
  <c r="K14" i="1"/>
  <c r="J14" i="1"/>
  <c r="L7" i="1"/>
  <c r="J23" i="2"/>
  <c r="D24" i="2"/>
  <c r="D6" i="1"/>
  <c r="D19" i="1" s="1"/>
  <c r="C6" i="1"/>
  <c r="C19" i="1" s="1"/>
  <c r="H24" i="1" s="1"/>
  <c r="L19" i="1"/>
  <c r="L24" i="1" s="1"/>
  <c r="K24" i="2"/>
  <c r="B14" i="3"/>
  <c r="I23" i="2"/>
  <c r="J23" i="1"/>
  <c r="H14" i="1"/>
  <c r="C20" i="2"/>
  <c r="B20" i="2"/>
  <c r="H24" i="2"/>
  <c r="B16" i="2"/>
  <c r="K6" i="1"/>
  <c r="K19" i="1" s="1"/>
  <c r="K24" i="1" s="1"/>
  <c r="M24" i="1" s="1"/>
  <c r="G24" i="2"/>
  <c r="A1" i="2"/>
  <c r="A1" i="4" s="1"/>
  <c r="C23" i="2"/>
  <c r="E14" i="1"/>
  <c r="L9" i="1"/>
  <c r="E16" i="2"/>
  <c r="F21" i="2"/>
  <c r="I14" i="1"/>
  <c r="K25" i="1" s="1"/>
  <c r="M25" i="1" s="1"/>
  <c r="M14" i="1" s="1"/>
  <c r="C24" i="2"/>
  <c r="J16" i="2"/>
  <c r="I23" i="1"/>
  <c r="N23" i="1" s="1"/>
  <c r="N4" i="1" s="1"/>
  <c r="L8" i="1"/>
  <c r="M8" i="1" s="1"/>
  <c r="J24" i="2"/>
  <c r="K14" i="3"/>
  <c r="I24" i="2"/>
  <c r="D14" i="1"/>
  <c r="I6" i="1"/>
  <c r="I19" i="1" s="1"/>
  <c r="F24" i="2"/>
  <c r="J25" i="1"/>
  <c r="M9" i="1"/>
  <c r="N9" i="1"/>
  <c r="N8" i="1"/>
  <c r="H25" i="1"/>
  <c r="N25" i="1" s="1"/>
  <c r="N14" i="1" s="1"/>
  <c r="I25" i="1"/>
  <c r="I20" i="2"/>
  <c r="H20" i="2"/>
  <c r="K23" i="1"/>
  <c r="M23" i="1" s="1"/>
  <c r="M4" i="1" s="1"/>
  <c r="H6" i="1"/>
  <c r="H19" i="1" s="1"/>
  <c r="J24" i="1" s="1"/>
  <c r="N24" i="1" s="1"/>
  <c r="F6" i="1"/>
  <c r="F19" i="1" s="1"/>
  <c r="I24" i="1" s="1"/>
  <c r="E1" i="4"/>
  <c r="D12" i="8"/>
  <c r="D14" i="8"/>
  <c r="E16" i="8"/>
  <c r="D13" i="8"/>
  <c r="E12" i="8"/>
  <c r="E14" i="8"/>
  <c r="E11" i="8"/>
  <c r="D16" i="8"/>
  <c r="E15" i="8"/>
  <c r="D15" i="8"/>
  <c r="D11" i="8"/>
  <c r="E13" i="8"/>
  <c r="D64" i="9" l="1"/>
  <c r="C73" i="9"/>
  <c r="C74" i="9" s="1"/>
  <c r="B139" i="9"/>
  <c r="C129" i="9"/>
  <c r="D129" i="9" s="1"/>
  <c r="E129" i="9" s="1"/>
  <c r="F129" i="9" s="1"/>
  <c r="G129" i="9" s="1"/>
  <c r="C142" i="9"/>
  <c r="B149" i="9"/>
  <c r="C106" i="9"/>
  <c r="C107" i="9" s="1"/>
  <c r="B108" i="9"/>
  <c r="C80" i="9"/>
  <c r="D79" i="9"/>
  <c r="C112" i="9"/>
  <c r="B113" i="9"/>
  <c r="B83" i="9"/>
  <c r="B73" i="9"/>
  <c r="B74" i="9" s="1"/>
  <c r="B116" i="9"/>
  <c r="P103" i="9"/>
  <c r="P104" i="9"/>
  <c r="P105" i="9" s="1"/>
  <c r="P106" i="9" s="1"/>
  <c r="Q103" i="9"/>
  <c r="Q104" i="9"/>
  <c r="Q105" i="9" s="1"/>
  <c r="Q106" i="9" s="1"/>
  <c r="N102" i="9"/>
  <c r="P102" i="9" s="1"/>
  <c r="N74" i="9"/>
  <c r="N30" i="9"/>
  <c r="N80" i="9"/>
  <c r="N75" i="9"/>
  <c r="L73" i="9"/>
  <c r="M100" i="9"/>
  <c r="M99" i="9" s="1"/>
  <c r="N11" i="9"/>
  <c r="N12" i="9" s="1"/>
  <c r="N56" i="9"/>
  <c r="N49" i="9"/>
  <c r="N111" i="9"/>
  <c r="O111" i="9" s="1"/>
  <c r="P111" i="9" s="1"/>
  <c r="Q111" i="9" s="1"/>
  <c r="L99" i="9"/>
  <c r="O11" i="9"/>
  <c r="O12" i="9" s="1"/>
  <c r="D146" i="9"/>
  <c r="E144" i="9"/>
  <c r="J26" i="7"/>
  <c r="K26" i="7"/>
  <c r="N40" i="7"/>
  <c r="H26" i="7"/>
  <c r="J13" i="7"/>
  <c r="I19" i="7"/>
  <c r="M26" i="7"/>
  <c r="D45" i="7" s="1"/>
  <c r="I26" i="7"/>
  <c r="F14" i="7"/>
  <c r="F12" i="7"/>
  <c r="N47" i="7"/>
  <c r="N49" i="7" s="1"/>
  <c r="D43" i="7" s="1"/>
  <c r="D14" i="7"/>
  <c r="D12" i="7"/>
  <c r="E14" i="7"/>
  <c r="E12" i="7"/>
  <c r="N6" i="1"/>
  <c r="N10" i="1" s="1"/>
  <c r="N12" i="1" s="1"/>
  <c r="N13" i="1" s="1"/>
  <c r="N15" i="1" s="1"/>
  <c r="M6" i="1"/>
  <c r="M10" i="1" s="1"/>
  <c r="M12" i="1" s="1"/>
  <c r="M13" i="1" s="1"/>
  <c r="M15" i="1" s="1"/>
  <c r="D139" i="9" l="1"/>
  <c r="D140" i="9" s="1"/>
  <c r="N107" i="9"/>
  <c r="N109" i="9" s="1"/>
  <c r="N110" i="9" s="1"/>
  <c r="C139" i="9"/>
  <c r="C140" i="9" s="1"/>
  <c r="C141" i="9" s="1"/>
  <c r="C148" i="9" s="1"/>
  <c r="O102" i="9"/>
  <c r="O107" i="9" s="1"/>
  <c r="O109" i="9" s="1"/>
  <c r="O110" i="9" s="1"/>
  <c r="D142" i="9"/>
  <c r="C149" i="9"/>
  <c r="B140" i="9"/>
  <c r="B141" i="9" s="1"/>
  <c r="B148" i="9" s="1"/>
  <c r="E64" i="9"/>
  <c r="D73" i="9"/>
  <c r="D74" i="9" s="1"/>
  <c r="B75" i="9"/>
  <c r="B82" i="9" s="1"/>
  <c r="B85" i="9" s="1"/>
  <c r="C83" i="9"/>
  <c r="D112" i="9"/>
  <c r="C113" i="9"/>
  <c r="E79" i="9"/>
  <c r="D80" i="9"/>
  <c r="C108" i="9"/>
  <c r="D106" i="9"/>
  <c r="D107" i="9" s="1"/>
  <c r="C116" i="9"/>
  <c r="O75" i="9"/>
  <c r="O73" i="9" s="1"/>
  <c r="N73" i="9"/>
  <c r="N84" i="9"/>
  <c r="O84" i="9" s="1"/>
  <c r="L72" i="9"/>
  <c r="N82" i="9"/>
  <c r="N83" i="9" s="1"/>
  <c r="N85" i="9" s="1"/>
  <c r="O80" i="9"/>
  <c r="O82" i="9" s="1"/>
  <c r="O83" i="9" s="1"/>
  <c r="O85" i="9" s="1"/>
  <c r="D116" i="9"/>
  <c r="P107" i="9"/>
  <c r="P109" i="9" s="1"/>
  <c r="Q102" i="9"/>
  <c r="B115" i="9"/>
  <c r="B118" i="9" s="1"/>
  <c r="P11" i="9"/>
  <c r="P12" i="9" s="1"/>
  <c r="F144" i="9"/>
  <c r="E146" i="9"/>
  <c r="E139" i="9"/>
  <c r="E140" i="9" s="1"/>
  <c r="D141" i="9"/>
  <c r="D148" i="9" s="1"/>
  <c r="K13" i="7"/>
  <c r="J19" i="7"/>
  <c r="D54" i="7"/>
  <c r="D15" i="7"/>
  <c r="D16" i="7"/>
  <c r="D17" i="7"/>
  <c r="D23" i="7" s="1"/>
  <c r="F17" i="7"/>
  <c r="F23" i="7" s="1"/>
  <c r="F15" i="7"/>
  <c r="F16" i="7"/>
  <c r="E16" i="7"/>
  <c r="E15" i="7"/>
  <c r="E17" i="7"/>
  <c r="E23" i="7" s="1"/>
  <c r="N5" i="1"/>
  <c r="M5" i="1"/>
  <c r="C152" i="9" l="1"/>
  <c r="C153" i="9" s="1"/>
  <c r="C151" i="9"/>
  <c r="F64" i="9"/>
  <c r="E73" i="9"/>
  <c r="E74" i="9" s="1"/>
  <c r="B152" i="9"/>
  <c r="B153" i="9" s="1"/>
  <c r="B151" i="9"/>
  <c r="E142" i="9"/>
  <c r="D149" i="9"/>
  <c r="D151" i="9" s="1"/>
  <c r="B86" i="9"/>
  <c r="B87" i="9" s="1"/>
  <c r="E106" i="9"/>
  <c r="E107" i="9" s="1"/>
  <c r="D108" i="9"/>
  <c r="F79" i="9"/>
  <c r="E80" i="9"/>
  <c r="E112" i="9"/>
  <c r="D113" i="9"/>
  <c r="D83" i="9"/>
  <c r="C115" i="9"/>
  <c r="C118" i="9" s="1"/>
  <c r="E116" i="9"/>
  <c r="B119" i="9"/>
  <c r="B120" i="9" s="1"/>
  <c r="N50" i="9"/>
  <c r="L52" i="9"/>
  <c r="N53" i="9" s="1"/>
  <c r="M47" i="9"/>
  <c r="M46" i="9" s="1"/>
  <c r="Q107" i="9"/>
  <c r="Q109" i="9" s="1"/>
  <c r="G144" i="9"/>
  <c r="G146" i="9" s="1"/>
  <c r="F146" i="9"/>
  <c r="E141" i="9"/>
  <c r="E148" i="9" s="1"/>
  <c r="G139" i="9"/>
  <c r="G140" i="9" s="1"/>
  <c r="F139" i="9"/>
  <c r="F140" i="9" s="1"/>
  <c r="L13" i="7"/>
  <c r="K19" i="7"/>
  <c r="D152" i="9" l="1"/>
  <c r="D153" i="9" s="1"/>
  <c r="F142" i="9"/>
  <c r="E149" i="9"/>
  <c r="G64" i="9"/>
  <c r="G73" i="9" s="1"/>
  <c r="G74" i="9" s="1"/>
  <c r="F73" i="9"/>
  <c r="F74" i="9" s="1"/>
  <c r="C119" i="9"/>
  <c r="C120" i="9" s="1"/>
  <c r="E83" i="9"/>
  <c r="F112" i="9"/>
  <c r="E113" i="9"/>
  <c r="F80" i="9"/>
  <c r="G79" i="9"/>
  <c r="G80" i="9" s="1"/>
  <c r="E108" i="9"/>
  <c r="F106" i="9"/>
  <c r="F107" i="9" s="1"/>
  <c r="G106" i="9"/>
  <c r="G107" i="9" s="1"/>
  <c r="G116" i="9"/>
  <c r="F116" i="9"/>
  <c r="D115" i="9"/>
  <c r="D118" i="9" s="1"/>
  <c r="N48" i="9"/>
  <c r="N47" i="9" s="1"/>
  <c r="N57" i="9"/>
  <c r="N59" i="9" s="1"/>
  <c r="F141" i="9"/>
  <c r="F148" i="9" s="1"/>
  <c r="G141" i="9"/>
  <c r="G148" i="9" s="1"/>
  <c r="E151" i="9"/>
  <c r="E152" i="9"/>
  <c r="E153" i="9" s="1"/>
  <c r="M13" i="7"/>
  <c r="M19" i="7" s="1"/>
  <c r="L19" i="7"/>
  <c r="G142" i="9" l="1"/>
  <c r="G149" i="9" s="1"/>
  <c r="F149" i="9"/>
  <c r="G108" i="9"/>
  <c r="F108" i="9"/>
  <c r="G112" i="9"/>
  <c r="G113" i="9" s="1"/>
  <c r="F113" i="9"/>
  <c r="G83" i="9"/>
  <c r="F83" i="9"/>
  <c r="D119" i="9"/>
  <c r="D120" i="9" s="1"/>
  <c r="E115" i="9"/>
  <c r="Q101" i="9"/>
  <c r="Q100" i="9" s="1"/>
  <c r="Q110" i="9"/>
  <c r="Q112" i="9" s="1"/>
  <c r="P101" i="9"/>
  <c r="P100" i="9" s="1"/>
  <c r="P110" i="9"/>
  <c r="P112" i="9" s="1"/>
  <c r="O101" i="9"/>
  <c r="O100" i="9" s="1"/>
  <c r="O112" i="9"/>
  <c r="N101" i="9"/>
  <c r="N100" i="9" s="1"/>
  <c r="N112" i="9"/>
  <c r="G151" i="9"/>
  <c r="G152" i="9"/>
  <c r="G153" i="9" s="1"/>
  <c r="F151" i="9"/>
  <c r="F152" i="9"/>
  <c r="F153" i="9" s="1"/>
  <c r="E118" i="9" l="1"/>
  <c r="E119" i="9"/>
  <c r="E120" i="9" s="1"/>
  <c r="F115" i="9"/>
  <c r="G115" i="9"/>
  <c r="G118" i="9"/>
  <c r="G119" i="9"/>
  <c r="G120" i="9" s="1"/>
  <c r="F118" i="9" l="1"/>
  <c r="F119" i="9"/>
  <c r="F120" i="9" s="1"/>
  <c r="H7" i="7"/>
  <c r="H8" i="7" s="1"/>
  <c r="I5" i="7"/>
  <c r="I10" i="7" s="1"/>
  <c r="H11" i="7" l="1"/>
  <c r="H9" i="7"/>
  <c r="J5" i="7"/>
  <c r="J10" i="7" s="1"/>
  <c r="I7" i="7"/>
  <c r="I8" i="7" s="1"/>
  <c r="I9" i="7" l="1"/>
  <c r="I11" i="7"/>
  <c r="J7" i="7"/>
  <c r="J8" i="7" s="1"/>
  <c r="K5" i="7"/>
  <c r="K10" i="7" s="1"/>
  <c r="H14" i="7"/>
  <c r="H12" i="7"/>
  <c r="J9" i="7" l="1"/>
  <c r="J11" i="7"/>
  <c r="H15" i="7"/>
  <c r="H16" i="7"/>
  <c r="H17" i="7" s="1"/>
  <c r="H23" i="7" s="1"/>
  <c r="H27" i="7" s="1"/>
  <c r="K7" i="7"/>
  <c r="K8" i="7"/>
  <c r="L5" i="7"/>
  <c r="L10" i="7" s="1"/>
  <c r="I12" i="7"/>
  <c r="I14" i="7"/>
  <c r="I15" i="7" l="1"/>
  <c r="I16" i="7"/>
  <c r="I17" i="7" s="1"/>
  <c r="I23" i="7" s="1"/>
  <c r="I27" i="7" s="1"/>
  <c r="M5" i="7"/>
  <c r="M10" i="7" s="1"/>
  <c r="L7" i="7"/>
  <c r="L8" i="7" s="1"/>
  <c r="K9" i="7"/>
  <c r="K11" i="7"/>
  <c r="J12" i="7"/>
  <c r="J14" i="7"/>
  <c r="L11" i="7" l="1"/>
  <c r="L9" i="7"/>
  <c r="J15" i="7"/>
  <c r="J16" i="7"/>
  <c r="J17" i="7" s="1"/>
  <c r="J23" i="7" s="1"/>
  <c r="J27" i="7" s="1"/>
  <c r="K14" i="7"/>
  <c r="K12" i="7"/>
  <c r="M7" i="7"/>
  <c r="M8" i="7" s="1"/>
  <c r="M9" i="7" l="1"/>
  <c r="M11" i="7"/>
  <c r="K15" i="7"/>
  <c r="K16" i="7"/>
  <c r="K17" i="7" s="1"/>
  <c r="K23" i="7" s="1"/>
  <c r="K27" i="7" s="1"/>
  <c r="L12" i="7"/>
  <c r="L14" i="7"/>
  <c r="L15" i="7" l="1"/>
  <c r="L16" i="7"/>
  <c r="L17" i="7" s="1"/>
  <c r="L23" i="7" s="1"/>
  <c r="L27" i="7" s="1"/>
  <c r="D42" i="7"/>
  <c r="D44" i="7" s="1"/>
  <c r="M14" i="7"/>
  <c r="M12" i="7"/>
  <c r="M16" i="7" l="1"/>
  <c r="M17" i="7" s="1"/>
  <c r="M23" i="7" s="1"/>
  <c r="M15" i="7"/>
  <c r="D46" i="7"/>
  <c r="N41" i="7"/>
  <c r="N39" i="7" l="1"/>
  <c r="D52" i="7" s="1"/>
  <c r="M27" i="7"/>
  <c r="D39" i="7" s="1"/>
  <c r="D48" i="7" s="1"/>
  <c r="I39" i="7" s="1"/>
  <c r="I45" i="7" s="1"/>
  <c r="I49" i="7" s="1"/>
  <c r="D51" i="7"/>
  <c r="D53" i="7" l="1"/>
  <c r="D55" i="7" s="1"/>
  <c r="D57" i="7" s="1"/>
  <c r="N26" i="9"/>
  <c r="N24" i="9" s="1"/>
  <c r="N31" i="9"/>
  <c r="N32" i="9" s="1"/>
  <c r="L24" i="9"/>
  <c r="N33" i="9" s="1"/>
  <c r="N34" i="9" l="1"/>
  <c r="E75" i="9" l="1"/>
  <c r="E82" i="9" s="1"/>
  <c r="F75" i="9"/>
  <c r="F82" i="9" s="1"/>
  <c r="F85" i="9" s="1"/>
  <c r="C75" i="9"/>
  <c r="C82" i="9" s="1"/>
  <c r="C85" i="9" s="1"/>
  <c r="D75" i="9"/>
  <c r="D82" i="9" s="1"/>
  <c r="G75" i="9" l="1"/>
  <c r="G82" i="9" s="1"/>
  <c r="D86" i="9"/>
  <c r="D87" i="9" s="1"/>
  <c r="D85" i="9"/>
  <c r="E85" i="9"/>
  <c r="E86" i="9"/>
  <c r="E87" i="9" s="1"/>
  <c r="F86" i="9"/>
  <c r="F87" i="9" s="1"/>
  <c r="C86" i="9"/>
  <c r="C87" i="9" s="1"/>
  <c r="G86" i="9" l="1"/>
  <c r="G87" i="9" s="1"/>
  <c r="G85" i="9"/>
  <c r="C137" i="9"/>
  <c r="D137" i="9" s="1"/>
  <c r="E137" i="9" s="1"/>
  <c r="F137" i="9" s="1"/>
  <c r="G137" i="9" s="1"/>
  <c r="F104" i="9"/>
  <c r="C104" i="9"/>
  <c r="G104" i="9"/>
  <c r="B104" i="9"/>
  <c r="D104" i="9"/>
  <c r="E104" i="9"/>
</calcChain>
</file>

<file path=xl/sharedStrings.xml><?xml version="1.0" encoding="utf-8"?>
<sst xmlns="http://schemas.openxmlformats.org/spreadsheetml/2006/main" count="491" uniqueCount="288">
  <si>
    <t>COMPANY NAME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</si>
  <si>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</si>
  <si>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</si>
  <si>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</si>
  <si>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</si>
  <si>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</si>
  <si>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</si>
  <si>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</si>
  <si>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</si>
  <si>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</si>
  <si>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</si>
  <si>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</si>
  <si>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</si>
  <si>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</si>
  <si>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</si>
  <si>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</si>
  <si>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</si>
  <si>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</si>
  <si>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</si>
  <si>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</si>
  <si>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</si>
  <si>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</si>
  <si>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</si>
  <si>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</si>
  <si>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</si>
  <si>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</si>
  <si>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</si>
  <si>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</si>
  <si>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</si>
  <si>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</si>
  <si>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</si>
  <si>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</si>
  <si>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</si>
  <si>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</si>
  <si>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</si>
  <si>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</si>
  <si>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</si>
  <si>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</si>
  <si>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</si>
  <si>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</si>
  <si>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</si>
  <si>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</si>
  <si>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</si>
  <si>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</si>
  <si>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</si>
  <si>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</si>
  <si>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EPS</t>
  </si>
  <si>
    <t>Price</t>
  </si>
  <si>
    <t>Return on Equity</t>
  </si>
  <si>
    <t>Return on Capital Emp</t>
  </si>
  <si>
    <t>BAJAJ AUTO LTD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</si>
  <si>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</si>
  <si>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</si>
  <si>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</si>
  <si>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</si>
  <si>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</si>
  <si>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</si>
  <si>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</si>
  <si>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</si>
  <si>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</si>
  <si>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</si>
  <si>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</si>
  <si>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</si>
  <si>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</si>
  <si>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</si>
  <si>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</si>
  <si>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</si>
  <si>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</si>
  <si>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</si>
  <si>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</si>
  <si>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</si>
  <si>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</si>
  <si>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</si>
  <si>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</si>
  <si>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</si>
  <si>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</si>
  <si>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(INR  in crores, Financial Year March 31)</t>
  </si>
  <si>
    <t xml:space="preserve">Operating Scenario </t>
  </si>
  <si>
    <t>Historical Period</t>
  </si>
  <si>
    <t>Forecasted Period</t>
  </si>
  <si>
    <t xml:space="preserve">   % growth</t>
  </si>
  <si>
    <t>Cost of Goods Sold</t>
  </si>
  <si>
    <t>Gross Profit</t>
  </si>
  <si>
    <t xml:space="preserve">   % margin</t>
  </si>
  <si>
    <t>Selling, General &amp; Administrative</t>
  </si>
  <si>
    <t>EBITDA</t>
  </si>
  <si>
    <t>Depreciation &amp; Amortization</t>
  </si>
  <si>
    <t>EBIT</t>
  </si>
  <si>
    <t>Taxes</t>
  </si>
  <si>
    <t>EBIT(1-T)</t>
  </si>
  <si>
    <t>Plus: Depreciation &amp; Amortization</t>
  </si>
  <si>
    <t>Less: Capital Expenditures</t>
  </si>
  <si>
    <t>Less: Inc./(Dec.) in Net Working Capital</t>
  </si>
  <si>
    <t>Unlevered Free Cash Flow</t>
  </si>
  <si>
    <t xml:space="preserve">   WACC</t>
  </si>
  <si>
    <t xml:space="preserve">   Discount Period</t>
  </si>
  <si>
    <t xml:space="preserve">   Discount Factor</t>
  </si>
  <si>
    <t xml:space="preserve">   Present Value of Free Cash Flow</t>
  </si>
  <si>
    <t xml:space="preserve">WACC Calculation </t>
  </si>
  <si>
    <t>Risk Free rate of Return -Rf</t>
  </si>
  <si>
    <t xml:space="preserve">Beta </t>
  </si>
  <si>
    <t>Risk Premium - Rm-Rf</t>
  </si>
  <si>
    <t>Cost of debt post tax-Kd</t>
  </si>
  <si>
    <t>Weight of Debt -Wd</t>
  </si>
  <si>
    <t>Weight of Equity-We</t>
  </si>
  <si>
    <t>Cost of Equity-CAPM</t>
  </si>
  <si>
    <t>Cost of Capital-WACC</t>
  </si>
  <si>
    <t>Enterprise Value</t>
  </si>
  <si>
    <t xml:space="preserve"> Equity Value and Share Price</t>
  </si>
  <si>
    <t>Perpetuity Growth Rate</t>
  </si>
  <si>
    <t>Total Value Of NPV of Cash flows</t>
  </si>
  <si>
    <t>Less: Total Debt</t>
  </si>
  <si>
    <t>WACC</t>
  </si>
  <si>
    <t>Terminal Value ( Exit Multiple)</t>
  </si>
  <si>
    <t>Less: Noncontrolling Interest</t>
  </si>
  <si>
    <t xml:space="preserve">Terminal Value </t>
  </si>
  <si>
    <t>Plus: Cash and Cash Equivalents</t>
  </si>
  <si>
    <t>Exit Multiple</t>
  </si>
  <si>
    <t>Implied Perpetuity Growth Rate</t>
  </si>
  <si>
    <t xml:space="preserve">   Terminal Value</t>
  </si>
  <si>
    <t xml:space="preserve"> </t>
  </si>
  <si>
    <t>Discount Factor</t>
  </si>
  <si>
    <t xml:space="preserve">   Implied Equity Value</t>
  </si>
  <si>
    <t>Implied EV/EBITDA</t>
  </si>
  <si>
    <t xml:space="preserve">   Present Value of Terminal Value</t>
  </si>
  <si>
    <t>Fully Diluted Shares Outstanding</t>
  </si>
  <si>
    <t>2024 EBITDA</t>
  </si>
  <si>
    <t xml:space="preserve">   Enterprise Value with Exit multiple</t>
  </si>
  <si>
    <t xml:space="preserve">   Implied Share Price</t>
  </si>
  <si>
    <t>Terminal Value ( Perpetuity Formula)</t>
  </si>
  <si>
    <t>Share price as on 21-04-2025</t>
  </si>
  <si>
    <t>Perpetuity Growth rate</t>
  </si>
  <si>
    <t xml:space="preserve">   Enterprise Value with Perpetuity approach</t>
  </si>
  <si>
    <t>Note:All prices are in crores</t>
  </si>
  <si>
    <t>CAGR</t>
  </si>
  <si>
    <t>Timeline</t>
  </si>
  <si>
    <t>Values</t>
  </si>
  <si>
    <t>Forecast</t>
  </si>
  <si>
    <t>Lower Confidence Bound</t>
  </si>
  <si>
    <t>Upper Confidence Bound</t>
  </si>
  <si>
    <t>EPS ACCRETIVE /DILUTIVE DEAL ANALYSIS WITH DIFFERENT SCENARIOS</t>
  </si>
  <si>
    <t>EPS Accretive/Dilutive Deal Calculation</t>
  </si>
  <si>
    <t>INPUT DATA</t>
  </si>
  <si>
    <t>Scenario 1</t>
  </si>
  <si>
    <t>Scenario 2</t>
  </si>
  <si>
    <t>Scenario 3</t>
  </si>
  <si>
    <t>(figures in INR)</t>
  </si>
  <si>
    <t>Acquirer</t>
  </si>
  <si>
    <t>50% STOCK PAYMENT</t>
  </si>
  <si>
    <t>100% STOCK PAYMENT</t>
  </si>
  <si>
    <t>0% STOCK PAYMENT</t>
  </si>
  <si>
    <t xml:space="preserve">&amp; Target </t>
  </si>
  <si>
    <t>50% CASH PAYMENT</t>
  </si>
  <si>
    <t>0% CASH PAYMENT</t>
  </si>
  <si>
    <t>100% CASH PAYMENT</t>
  </si>
  <si>
    <t>Acquirer Share price @ per share</t>
  </si>
  <si>
    <t>Target company share price @per share</t>
  </si>
  <si>
    <t>Premium Offered</t>
  </si>
  <si>
    <t>Offer Value</t>
  </si>
  <si>
    <t>NO. of Shares outstanding of Target</t>
  </si>
  <si>
    <t>Equity Value for Purchase</t>
  </si>
  <si>
    <t>Add: Total Debt Of Target Firm</t>
  </si>
  <si>
    <t>Less: Cash &amp; cash equivalents Of Target Firm</t>
  </si>
  <si>
    <t>Enterprise Value Of Target Firm</t>
  </si>
  <si>
    <t>Financing Plan Of acquirer for acquiring Target Firm</t>
  </si>
  <si>
    <t xml:space="preserve">Payment through Stock </t>
  </si>
  <si>
    <t>Payment through Cash</t>
  </si>
  <si>
    <t>Exchange ratio without Premium</t>
  </si>
  <si>
    <t>Exchange Ratio with Premium offered</t>
  </si>
  <si>
    <t xml:space="preserve">Number of shares issued in mn </t>
  </si>
  <si>
    <t>Deal is Accretive</t>
  </si>
  <si>
    <t>Accretive</t>
  </si>
  <si>
    <t>Deal is Dilutive</t>
  </si>
  <si>
    <t>Dilutive</t>
  </si>
  <si>
    <t>Income statement of Acquirer Post M&amp;A</t>
  </si>
  <si>
    <t>Operating Profit - EBIT of Acquirer before M&amp;A</t>
  </si>
  <si>
    <t>Operating Profit- EBIT of Target</t>
  </si>
  <si>
    <t>Operating Synergies gained from Merger</t>
  </si>
  <si>
    <t>Total Operating Profit Of acquirer Post M&amp;A</t>
  </si>
  <si>
    <t>Depreciation from write up</t>
  </si>
  <si>
    <t>Amortization from writeup</t>
  </si>
  <si>
    <t xml:space="preserve">New Debt interest Expense </t>
  </si>
  <si>
    <t>New debt Interest rate</t>
  </si>
  <si>
    <t>Existing debt interest rate</t>
  </si>
  <si>
    <t>Earnings before tax</t>
  </si>
  <si>
    <t>Tax Charged</t>
  </si>
  <si>
    <t>Acquirer's Net Income Post M&amp;A</t>
  </si>
  <si>
    <t>Acquirer's Net Income before M&amp;A</t>
  </si>
  <si>
    <t xml:space="preserve">Assumptions </t>
  </si>
  <si>
    <t>Acquirer fully diluted shares</t>
  </si>
  <si>
    <t>New shares issued to Target shareholders</t>
  </si>
  <si>
    <t>Total shares of Acquirer post M&amp;A deal</t>
  </si>
  <si>
    <t>Growth rate expected in EBIT of Acquirer post M&amp;A</t>
  </si>
  <si>
    <t>Growth rate expected in EBIT of Acquirer Before M&amp;A</t>
  </si>
  <si>
    <t>New debt repaid @ 10.5% of outsanding value p.a.</t>
  </si>
  <si>
    <t>Existing debt repaid at 5% of outsanding value p.a.</t>
  </si>
  <si>
    <t>SCENARIO 1:                            50% STOCK PAYMENT</t>
  </si>
  <si>
    <t>Forecasted Income statement of acquirer post M&amp;A</t>
  </si>
  <si>
    <t>20X1</t>
  </si>
  <si>
    <t>20X2</t>
  </si>
  <si>
    <t>20X3</t>
  </si>
  <si>
    <t>20X4</t>
  </si>
  <si>
    <t>20X5</t>
  </si>
  <si>
    <t>20X6</t>
  </si>
  <si>
    <t>Existing interest Expense</t>
  </si>
  <si>
    <t>New debt Interest Expense @5%</t>
  </si>
  <si>
    <t>Acquirer's Net Income without M&amp;A</t>
  </si>
  <si>
    <t>Growth rate  in EBIT of Acquirer without M&amp;A</t>
  </si>
  <si>
    <t>Total shares post M&amp;A deal</t>
  </si>
  <si>
    <t>Acquirer's Diluted EPS post M&amp;A</t>
  </si>
  <si>
    <t>Acquirer diluted EPS before M&amp;A</t>
  </si>
  <si>
    <t>Accretion/Dilution-INR</t>
  </si>
  <si>
    <t>Accretion/Dilution-%</t>
  </si>
  <si>
    <t xml:space="preserve">Accretive /Dilutive </t>
  </si>
  <si>
    <t>SCENARIO 2:                            100% STOCK PAYMENT</t>
  </si>
  <si>
    <t>SCENARIO 3:                            100% CASH PAYMENT</t>
  </si>
  <si>
    <t xml:space="preserve">                                                                                    </t>
  </si>
  <si>
    <t xml:space="preserve">New debt Interest Expense </t>
  </si>
  <si>
    <t>Acquirer's Net Income Without M&amp;A</t>
  </si>
  <si>
    <t>NO. of Shares outstanding of Acquirer</t>
  </si>
  <si>
    <t>Scenario 4</t>
  </si>
  <si>
    <t>Target</t>
  </si>
  <si>
    <t>No Premium</t>
  </si>
  <si>
    <t>Premium offered per Share</t>
  </si>
  <si>
    <t>50% cash + 50% stock payment</t>
  </si>
  <si>
    <t>Share price before announcement of M&amp;A deal</t>
  </si>
  <si>
    <t>Net Operating Income</t>
  </si>
  <si>
    <t>Earning per share-EPS</t>
  </si>
  <si>
    <t>Price/earning -P/E ratio</t>
  </si>
  <si>
    <t>Number of shares outstanding</t>
  </si>
  <si>
    <t>Increase in Net income due to synergy gains</t>
  </si>
  <si>
    <t xml:space="preserve">Scenario-1 </t>
  </si>
  <si>
    <t>Acquirer acquires target firm at Market price and pays through stock</t>
  </si>
  <si>
    <t>P/E ratio of Target &gt; P/E ratio of Acquirer</t>
  </si>
  <si>
    <t xml:space="preserve">Exchange ratio more than one </t>
  </si>
  <si>
    <t>Post M&amp;A</t>
  </si>
  <si>
    <t>Share price before announcement</t>
  </si>
  <si>
    <t>P/E ratio</t>
  </si>
  <si>
    <t>EPS Next year</t>
  </si>
  <si>
    <t>Shares outstanding</t>
  </si>
  <si>
    <t>Net Income next years</t>
  </si>
  <si>
    <t>Equity Offer value(No. of shares X Offer price)</t>
  </si>
  <si>
    <t>Exchange ratio (Price of Target/Price of Acquirer)</t>
  </si>
  <si>
    <t>New shares issued to Target Firm SHs</t>
  </si>
  <si>
    <t>Total shares Of combined firm, Post M&amp;A</t>
  </si>
  <si>
    <t>Net Income of combined firm post M&amp;A</t>
  </si>
  <si>
    <t>EPS of combine firm post M&amp;A</t>
  </si>
  <si>
    <t>EPS of Acquirer firm Before M&amp;A</t>
  </si>
  <si>
    <t>Accretion(dilution) % to Acquirer post M&amp;A</t>
  </si>
  <si>
    <t xml:space="preserve">Combined </t>
  </si>
  <si>
    <t xml:space="preserve">Net Income </t>
  </si>
  <si>
    <t xml:space="preserve">Increase in Net income due to synergy gains </t>
  </si>
  <si>
    <t>Net Income of combined firm adjusted with synergy gain</t>
  </si>
  <si>
    <t>Increase in Net income due to synergy Gains</t>
  </si>
  <si>
    <t>Acquirer acquires target firm at Preium over market price and pays through stock</t>
  </si>
  <si>
    <t>Offers premium on share price(paid through stock)</t>
  </si>
  <si>
    <t>100% Acquistion of target with stock</t>
  </si>
  <si>
    <t>No premium</t>
  </si>
  <si>
    <t>With  premium</t>
  </si>
  <si>
    <t>Acquirer acquires target firm with 50% cash and 50% stock payment</t>
  </si>
  <si>
    <t>Combined no premium</t>
  </si>
  <si>
    <t>100% stock</t>
  </si>
  <si>
    <t>50% stock</t>
  </si>
  <si>
    <t>Scenario-2</t>
  </si>
  <si>
    <t>Scenario-3</t>
  </si>
  <si>
    <t>Scenario-4</t>
  </si>
  <si>
    <t xml:space="preserve">INR 52.47 /share </t>
  </si>
  <si>
    <t>Tax expense @26%</t>
  </si>
  <si>
    <t>Synergy Area</t>
  </si>
  <si>
    <t>Basis</t>
  </si>
  <si>
    <t>FY27</t>
  </si>
  <si>
    <t>Notes</t>
  </si>
  <si>
    <t>Export of HBL products via Bajaj channels</t>
  </si>
  <si>
    <t>Assume 5% of HBL’s forecasted revenue (₹2,932 Cr in 2026) in new markets</t>
  </si>
  <si>
    <t>Based on gradual market penetration</t>
  </si>
  <si>
    <t>Bundled EV battery sales</t>
  </si>
  <si>
    <t>₹10K avg margin per EV, 1 lakh units</t>
  </si>
  <si>
    <t>Based on projected EV growth</t>
  </si>
  <si>
    <t>Distribution cost savings</t>
  </si>
  <si>
    <t>2% of combined COGS</t>
  </si>
  <si>
    <t>Shared channels, logistics</t>
  </si>
  <si>
    <t>Total Annual Revenue/Cost Synergy</t>
  </si>
  <si>
    <t>WACC for combined entity</t>
  </si>
  <si>
    <t>8.5% to 9%</t>
  </si>
  <si>
    <t>in crores</t>
  </si>
  <si>
    <t>synergy value</t>
  </si>
  <si>
    <t>FY25 Estimate (INR Cr)</t>
  </si>
  <si>
    <t>FY26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</si>
</sst>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6" formatCode="&quot;₹&quot;\ #,##0;[Red]&quot;₹&quot;\ \-#,##0"/>
    <numFmt numFmtId="8" formatCode="&quot;₹&quot;\ #,##0.00;[Red]&quot;₹&quot;\ \-#,##0.00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* #,##0.00_);_(* \(#,##0.00\);_(* &quot;-&quot;??_);_(@_)"/>
    <numFmt numFmtId="165" formatCode="[$-409]mmm\-yy;@"/>
    <numFmt numFmtId="166" formatCode="0.0"/>
    <numFmt numFmtId="167" formatCode="_(* #,##0_);_(* \(#,##0\);_(* &quot;-&quot;??_);_(@_)"/>
    <numFmt numFmtId="168" formatCode="0.0%"/>
    <numFmt numFmtId="169" formatCode="0.000"/>
    <numFmt numFmtId="170" formatCode="_(* #,##0_);_(* \(#,##0\);_(* &quot;-&quot;_);_(@_)"/>
  </numFmts>
  <fonts count="3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MS Sans Serif"/>
      <family val="2"/>
    </font>
    <font>
      <b/>
      <i/>
      <sz val="10"/>
      <name val="Arial"/>
      <family val="2"/>
    </font>
    <font>
      <sz val="9"/>
      <color indexed="0"/>
      <name val="Helvetica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9"/>
      <name val="Helvetica"/>
    </font>
    <font>
      <b/>
      <sz val="10"/>
      <color theme="1"/>
      <name val="Arial"/>
      <family val="2"/>
    </font>
    <font>
      <i/>
      <sz val="10"/>
      <name val="Arial"/>
      <family val="2"/>
    </font>
    <font>
      <b/>
      <sz val="10"/>
      <color theme="0" tint="-4.9989318521683403E-2"/>
      <name val="Arial"/>
      <family val="2"/>
    </font>
    <font>
      <b/>
      <sz val="12"/>
      <color theme="0" tint="-4.9989318521683403E-2"/>
      <name val="Arial"/>
      <family val="2"/>
    </font>
    <font>
      <b/>
      <i/>
      <sz val="12"/>
      <name val="Arial"/>
      <family val="2"/>
    </font>
    <font>
      <sz val="11"/>
      <color rgb="FF22222F"/>
      <name val="Arial"/>
      <family val="2"/>
    </font>
    <font>
      <b/>
      <sz val="22"/>
      <color theme="1"/>
      <name val="Garamond"/>
      <family val="1"/>
    </font>
    <font>
      <sz val="14"/>
      <color theme="1"/>
      <name val="Calibri"/>
      <family val="2"/>
      <scheme val="minor"/>
    </font>
    <font>
      <sz val="10"/>
      <color theme="1"/>
      <name val="Arial"/>
      <family val="2"/>
    </font>
    <font>
      <b/>
      <sz val="18"/>
      <color theme="1"/>
      <name val="Garamond"/>
      <family val="1"/>
    </font>
    <font>
      <sz val="18"/>
      <color theme="1"/>
      <name val="Garamond"/>
      <family val="1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i/>
      <sz val="12"/>
      <color theme="1"/>
      <name val="Arial"/>
      <family val="2"/>
    </font>
    <font>
      <i/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26"/>
      <color theme="1"/>
      <name val="Garamond"/>
      <family val="1"/>
    </font>
    <font>
      <sz val="26"/>
      <color theme="1"/>
      <name val="Garamond"/>
      <family val="1"/>
    </font>
    <font>
      <sz val="12"/>
      <color theme="1"/>
      <name val="Calibri"/>
      <family val="2"/>
      <scheme val="minor"/>
    </font>
    <font>
      <b/>
      <u/>
      <sz val="26"/>
      <color theme="1"/>
      <name val="Garamond"/>
      <family val="1"/>
    </font>
  </fonts>
  <fills count="2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8F8F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medium">
        <color indexed="18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1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10" fillId="0" borderId="0"/>
    <xf numFmtId="0" fontId="14" fillId="0" borderId="0" applyFill="0" applyBorder="0" applyProtection="0">
      <protection locked="0"/>
    </xf>
  </cellStyleXfs>
  <cellXfs count="267">
    <xf numFmtId="0" fontId="0" fillId="0" borderId="0" xfId="0"/>
    <xf numFmtId="43" fontId="1" fillId="0" borderId="0" xfId="1" applyFont="1" applyBorder="1"/>
    <xf numFmtId="0" fontId="1" fillId="0" borderId="0" xfId="0" applyFont="1"/>
    <xf numFmtId="0" fontId="6" fillId="0" borderId="0" xfId="0" applyFont="1"/>
    <xf numFmtId="43" fontId="0" fillId="0" borderId="0" xfId="1" applyFont="1" applyBorder="1"/>
    <xf numFmtId="10" fontId="0" fillId="0" borderId="0" xfId="0" applyNumberFormat="1"/>
    <xf numFmtId="43" fontId="3" fillId="0" borderId="0" xfId="1" applyFont="1" applyBorder="1"/>
    <xf numFmtId="9" fontId="3" fillId="0" borderId="0" xfId="1" applyNumberFormat="1" applyFont="1" applyBorder="1"/>
    <xf numFmtId="43" fontId="2" fillId="2" borderId="0" xfId="3" applyNumberFormat="1" applyFont="1" applyBorder="1"/>
    <xf numFmtId="43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/>
    <xf numFmtId="165" fontId="2" fillId="5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center"/>
    </xf>
    <xf numFmtId="43" fontId="0" fillId="0" borderId="0" xfId="1" applyFont="1" applyBorder="1" applyAlignment="1">
      <alignment horizontal="center"/>
    </xf>
    <xf numFmtId="43" fontId="1" fillId="0" borderId="0" xfId="1" applyFont="1" applyBorder="1" applyAlignment="1">
      <alignment horizontal="center"/>
    </xf>
    <xf numFmtId="10" fontId="1" fillId="0" borderId="0" xfId="0" applyNumberFormat="1" applyFont="1"/>
    <xf numFmtId="165" fontId="2" fillId="5" borderId="0" xfId="1" applyNumberFormat="1" applyFont="1" applyFill="1" applyBorder="1"/>
    <xf numFmtId="165" fontId="7" fillId="0" borderId="0" xfId="1" applyNumberFormat="1" applyFont="1" applyFill="1" applyBorder="1"/>
    <xf numFmtId="0" fontId="7" fillId="0" borderId="0" xfId="0" applyFont="1"/>
    <xf numFmtId="164" fontId="0" fillId="0" borderId="0" xfId="1" applyNumberFormat="1" applyFont="1" applyBorder="1"/>
    <xf numFmtId="166" fontId="9" fillId="6" borderId="1" xfId="8" applyNumberFormat="1" applyFont="1" applyFill="1" applyBorder="1" applyProtection="1"/>
    <xf numFmtId="166" fontId="11" fillId="6" borderId="1" xfId="9" applyNumberFormat="1" applyFont="1" applyFill="1" applyBorder="1"/>
    <xf numFmtId="166" fontId="12" fillId="6" borderId="1" xfId="9" applyNumberFormat="1" applyFont="1" applyFill="1" applyBorder="1"/>
    <xf numFmtId="166" fontId="13" fillId="6" borderId="1" xfId="8" applyNumberFormat="1" applyFont="1" applyFill="1" applyBorder="1" applyProtection="1"/>
    <xf numFmtId="166" fontId="13" fillId="7" borderId="0" xfId="8" applyNumberFormat="1" applyFont="1" applyFill="1" applyBorder="1" applyAlignment="1" applyProtection="1">
      <alignment horizontal="right"/>
    </xf>
    <xf numFmtId="166" fontId="13" fillId="0" borderId="0" xfId="10" applyNumberFormat="1" applyFont="1" applyProtection="1"/>
    <xf numFmtId="166" fontId="14" fillId="0" borderId="0" xfId="10" applyNumberFormat="1" applyProtection="1"/>
    <xf numFmtId="166" fontId="13" fillId="0" borderId="0" xfId="9" applyNumberFormat="1" applyFont="1"/>
    <xf numFmtId="166" fontId="14" fillId="0" borderId="0" xfId="9" applyNumberFormat="1" applyFont="1"/>
    <xf numFmtId="166" fontId="15" fillId="0" borderId="0" xfId="9" applyNumberFormat="1" applyFont="1"/>
    <xf numFmtId="166" fontId="15" fillId="7" borderId="0" xfId="9" applyNumberFormat="1" applyFont="1" applyFill="1"/>
    <xf numFmtId="166" fontId="13" fillId="8" borderId="2" xfId="10" applyNumberFormat="1" applyFont="1" applyFill="1" applyBorder="1" applyAlignment="1" applyProtection="1">
      <alignment horizontal="centerContinuous"/>
    </xf>
    <xf numFmtId="166" fontId="14" fillId="8" borderId="2" xfId="10" applyNumberFormat="1" applyFill="1" applyBorder="1" applyAlignment="1" applyProtection="1">
      <alignment horizontal="centerContinuous"/>
    </xf>
    <xf numFmtId="166" fontId="13" fillId="0" borderId="0" xfId="9" applyNumberFormat="1" applyFont="1" applyAlignment="1">
      <alignment horizontal="center"/>
    </xf>
    <xf numFmtId="166" fontId="13" fillId="9" borderId="2" xfId="9" applyNumberFormat="1" applyFont="1" applyFill="1" applyBorder="1" applyAlignment="1">
      <alignment horizontal="center"/>
    </xf>
    <xf numFmtId="166" fontId="13" fillId="7" borderId="0" xfId="9" applyNumberFormat="1" applyFont="1" applyFill="1" applyAlignment="1">
      <alignment horizontal="center"/>
    </xf>
    <xf numFmtId="1" fontId="13" fillId="0" borderId="2" xfId="9" applyNumberFormat="1" applyFont="1" applyBorder="1" applyAlignment="1">
      <alignment horizontal="center"/>
    </xf>
    <xf numFmtId="166" fontId="13" fillId="10" borderId="2" xfId="9" applyNumberFormat="1" applyFont="1" applyFill="1" applyBorder="1" applyAlignment="1">
      <alignment horizontal="center"/>
    </xf>
    <xf numFmtId="1" fontId="13" fillId="0" borderId="4" xfId="9" applyNumberFormat="1" applyFont="1" applyBorder="1" applyAlignment="1">
      <alignment horizontal="center"/>
    </xf>
    <xf numFmtId="167" fontId="16" fillId="11" borderId="0" xfId="0" applyNumberFormat="1" applyFont="1" applyFill="1" applyAlignment="1">
      <alignment horizontal="center"/>
    </xf>
    <xf numFmtId="166" fontId="17" fillId="7" borderId="0" xfId="6" applyNumberFormat="1" applyFont="1" applyFill="1" applyBorder="1" applyAlignment="1" applyProtection="1">
      <alignment horizontal="center"/>
    </xf>
    <xf numFmtId="166" fontId="17" fillId="0" borderId="0" xfId="9" applyNumberFormat="1" applyFont="1" applyAlignment="1">
      <alignment horizontal="left"/>
    </xf>
    <xf numFmtId="166" fontId="17" fillId="0" borderId="0" xfId="8" applyNumberFormat="1" applyFont="1" applyFill="1" applyBorder="1" applyAlignment="1" applyProtection="1">
      <alignment horizontal="right"/>
    </xf>
    <xf numFmtId="9" fontId="16" fillId="0" borderId="0" xfId="6" applyFont="1" applyAlignment="1">
      <alignment horizontal="center"/>
    </xf>
    <xf numFmtId="168" fontId="17" fillId="0" borderId="0" xfId="6" applyNumberFormat="1" applyFont="1" applyAlignment="1" applyProtection="1">
      <alignment horizontal="right"/>
    </xf>
    <xf numFmtId="166" fontId="17" fillId="7" borderId="0" xfId="6" applyNumberFormat="1" applyFont="1" applyFill="1" applyBorder="1" applyAlignment="1" applyProtection="1">
      <alignment horizontal="right"/>
    </xf>
    <xf numFmtId="168" fontId="15" fillId="0" borderId="0" xfId="6" applyNumberFormat="1" applyFont="1" applyProtection="1"/>
    <xf numFmtId="166" fontId="13" fillId="0" borderId="0" xfId="9" applyNumberFormat="1" applyFont="1" applyAlignment="1">
      <alignment horizontal="left"/>
    </xf>
    <xf numFmtId="167" fontId="16" fillId="0" borderId="0" xfId="0" applyNumberFormat="1" applyFont="1" applyAlignment="1">
      <alignment horizontal="center"/>
    </xf>
    <xf numFmtId="168" fontId="17" fillId="0" borderId="0" xfId="6" applyNumberFormat="1" applyFont="1" applyAlignment="1" applyProtection="1">
      <alignment horizontal="center"/>
    </xf>
    <xf numFmtId="166" fontId="17" fillId="7" borderId="0" xfId="8" applyNumberFormat="1" applyFont="1" applyFill="1" applyBorder="1" applyAlignment="1" applyProtection="1">
      <alignment horizontal="right"/>
    </xf>
    <xf numFmtId="166" fontId="14" fillId="0" borderId="0" xfId="9" applyNumberFormat="1" applyFont="1" applyAlignment="1">
      <alignment horizontal="left"/>
    </xf>
    <xf numFmtId="168" fontId="14" fillId="0" borderId="0" xfId="6" applyNumberFormat="1" applyFont="1" applyProtection="1"/>
    <xf numFmtId="9" fontId="14" fillId="0" borderId="0" xfId="6" applyFont="1" applyProtection="1"/>
    <xf numFmtId="10" fontId="14" fillId="10" borderId="0" xfId="6" applyNumberFormat="1" applyFont="1" applyFill="1" applyBorder="1" applyAlignment="1" applyProtection="1">
      <alignment horizontal="right"/>
    </xf>
    <xf numFmtId="166" fontId="17" fillId="0" borderId="0" xfId="6" applyNumberFormat="1" applyFont="1" applyFill="1" applyBorder="1" applyAlignment="1" applyProtection="1">
      <alignment horizontal="center"/>
    </xf>
    <xf numFmtId="166" fontId="14" fillId="0" borderId="0" xfId="9" applyNumberFormat="1" applyFont="1" applyAlignment="1">
      <alignment horizontal="right"/>
    </xf>
    <xf numFmtId="166" fontId="14" fillId="0" borderId="0" xfId="6" applyNumberFormat="1" applyFont="1" applyBorder="1" applyAlignment="1" applyProtection="1">
      <alignment horizontal="right"/>
    </xf>
    <xf numFmtId="169" fontId="14" fillId="0" borderId="0" xfId="9" applyNumberFormat="1" applyFont="1" applyAlignment="1">
      <alignment horizontal="center"/>
    </xf>
    <xf numFmtId="166" fontId="14" fillId="7" borderId="0" xfId="9" applyNumberFormat="1" applyFont="1" applyFill="1"/>
    <xf numFmtId="166" fontId="13" fillId="8" borderId="0" xfId="9" applyNumberFormat="1" applyFont="1" applyFill="1"/>
    <xf numFmtId="166" fontId="14" fillId="8" borderId="0" xfId="9" applyNumberFormat="1" applyFont="1" applyFill="1"/>
    <xf numFmtId="166" fontId="9" fillId="8" borderId="0" xfId="9" applyNumberFormat="1" applyFont="1" applyFill="1"/>
    <xf numFmtId="167" fontId="16" fillId="12" borderId="0" xfId="0" applyNumberFormat="1" applyFont="1" applyFill="1" applyAlignment="1">
      <alignment horizontal="center"/>
    </xf>
    <xf numFmtId="166" fontId="13" fillId="7" borderId="0" xfId="9" applyNumberFormat="1" applyFont="1" applyFill="1"/>
    <xf numFmtId="166" fontId="9" fillId="0" borderId="0" xfId="9" applyNumberFormat="1" applyFont="1"/>
    <xf numFmtId="166" fontId="14" fillId="0" borderId="0" xfId="9" applyNumberFormat="1" applyFont="1" applyAlignment="1">
      <alignment horizontal="center"/>
    </xf>
    <xf numFmtId="166" fontId="13" fillId="13" borderId="0" xfId="9" applyNumberFormat="1" applyFont="1" applyFill="1"/>
    <xf numFmtId="166" fontId="18" fillId="13" borderId="0" xfId="9" applyNumberFormat="1" applyFont="1" applyFill="1"/>
    <xf numFmtId="166" fontId="19" fillId="13" borderId="0" xfId="9" applyNumberFormat="1" applyFont="1" applyFill="1"/>
    <xf numFmtId="166" fontId="20" fillId="13" borderId="0" xfId="9" applyNumberFormat="1" applyFont="1" applyFill="1"/>
    <xf numFmtId="166" fontId="14" fillId="13" borderId="0" xfId="9" applyNumberFormat="1" applyFont="1" applyFill="1"/>
    <xf numFmtId="168" fontId="14" fillId="0" borderId="0" xfId="6" applyNumberFormat="1" applyFont="1" applyFill="1" applyBorder="1" applyProtection="1"/>
    <xf numFmtId="2" fontId="14" fillId="0" borderId="0" xfId="9" applyNumberFormat="1" applyFont="1"/>
    <xf numFmtId="9" fontId="14" fillId="0" borderId="0" xfId="6" applyFont="1" applyFill="1" applyBorder="1" applyProtection="1"/>
    <xf numFmtId="166" fontId="17" fillId="0" borderId="0" xfId="9" applyNumberFormat="1" applyFont="1"/>
    <xf numFmtId="10" fontId="16" fillId="11" borderId="0" xfId="6" applyNumberFormat="1" applyFont="1" applyFill="1" applyAlignment="1">
      <alignment horizontal="center"/>
    </xf>
    <xf numFmtId="166" fontId="14" fillId="0" borderId="0" xfId="6" applyNumberFormat="1" applyFont="1" applyFill="1" applyBorder="1" applyProtection="1"/>
    <xf numFmtId="166" fontId="13" fillId="13" borderId="0" xfId="9" applyNumberFormat="1" applyFont="1" applyFill="1" applyAlignment="1">
      <alignment horizontal="centerContinuous"/>
    </xf>
    <xf numFmtId="166" fontId="17" fillId="0" borderId="0" xfId="10" applyNumberFormat="1" applyFont="1" applyFill="1" applyBorder="1" applyProtection="1"/>
    <xf numFmtId="166" fontId="17" fillId="0" borderId="0" xfId="6" applyNumberFormat="1" applyFont="1" applyProtection="1"/>
    <xf numFmtId="10" fontId="16" fillId="0" borderId="0" xfId="6" applyNumberFormat="1" applyFont="1" applyAlignment="1">
      <alignment horizontal="center"/>
    </xf>
    <xf numFmtId="166" fontId="13" fillId="14" borderId="2" xfId="10" applyNumberFormat="1" applyFont="1" applyFill="1" applyBorder="1" applyProtection="1"/>
    <xf numFmtId="166" fontId="14" fillId="0" borderId="0" xfId="10" applyNumberFormat="1" applyBorder="1" applyProtection="1"/>
    <xf numFmtId="166" fontId="14" fillId="0" borderId="0" xfId="10" applyNumberFormat="1" applyFill="1" applyBorder="1" applyProtection="1"/>
    <xf numFmtId="166" fontId="14" fillId="10" borderId="2" xfId="10" applyNumberFormat="1" applyFill="1" applyBorder="1" applyProtection="1"/>
    <xf numFmtId="166" fontId="13" fillId="0" borderId="0" xfId="10" applyNumberFormat="1" applyFont="1" applyFill="1" applyBorder="1" applyProtection="1"/>
    <xf numFmtId="169" fontId="14" fillId="0" borderId="2" xfId="10" applyNumberFormat="1" applyFill="1" applyBorder="1" applyProtection="1"/>
    <xf numFmtId="2" fontId="13" fillId="8" borderId="5" xfId="8" applyNumberFormat="1" applyFont="1" applyFill="1" applyBorder="1" applyAlignment="1" applyProtection="1">
      <alignment horizontal="right"/>
    </xf>
    <xf numFmtId="166" fontId="13" fillId="9" borderId="0" xfId="9" applyNumberFormat="1" applyFont="1" applyFill="1" applyAlignment="1">
      <alignment horizontal="centerContinuous"/>
    </xf>
    <xf numFmtId="166" fontId="14" fillId="9" borderId="0" xfId="9" applyNumberFormat="1" applyFont="1" applyFill="1" applyAlignment="1">
      <alignment horizontal="centerContinuous"/>
    </xf>
    <xf numFmtId="2" fontId="13" fillId="15" borderId="5" xfId="8" applyNumberFormat="1" applyFont="1" applyFill="1" applyBorder="1" applyAlignment="1" applyProtection="1">
      <alignment horizontal="right"/>
    </xf>
    <xf numFmtId="166" fontId="13" fillId="8" borderId="5" xfId="8" applyNumberFormat="1" applyFont="1" applyFill="1" applyBorder="1" applyAlignment="1" applyProtection="1">
      <alignment horizontal="right"/>
    </xf>
    <xf numFmtId="166" fontId="14" fillId="15" borderId="0" xfId="9" applyNumberFormat="1" applyFont="1" applyFill="1"/>
    <xf numFmtId="0" fontId="0" fillId="15" borderId="0" xfId="0" applyFill="1"/>
    <xf numFmtId="9" fontId="21" fillId="16" borderId="0" xfId="0" applyNumberFormat="1" applyFont="1" applyFill="1" applyAlignment="1">
      <alignment horizontal="right" vertical="center" wrapText="1"/>
    </xf>
    <xf numFmtId="43" fontId="0" fillId="0" borderId="0" xfId="0" applyNumberFormat="1"/>
    <xf numFmtId="165" fontId="0" fillId="0" borderId="0" xfId="0" applyNumberFormat="1"/>
    <xf numFmtId="1" fontId="16" fillId="11" borderId="0" xfId="0" applyNumberFormat="1" applyFont="1" applyFill="1" applyAlignment="1">
      <alignment horizontal="center"/>
    </xf>
    <xf numFmtId="0" fontId="0" fillId="17" borderId="0" xfId="0" applyFill="1"/>
    <xf numFmtId="0" fontId="23" fillId="17" borderId="0" xfId="0" applyFont="1" applyFill="1"/>
    <xf numFmtId="0" fontId="24" fillId="17" borderId="0" xfId="0" applyFont="1" applyFill="1"/>
    <xf numFmtId="0" fontId="27" fillId="19" borderId="0" xfId="0" applyFont="1" applyFill="1" applyAlignment="1">
      <alignment horizontal="center"/>
    </xf>
    <xf numFmtId="0" fontId="28" fillId="19" borderId="2" xfId="0" applyFont="1" applyFill="1" applyBorder="1" applyAlignment="1">
      <alignment horizontal="center"/>
    </xf>
    <xf numFmtId="0" fontId="29" fillId="11" borderId="0" xfId="0" applyFont="1" applyFill="1"/>
    <xf numFmtId="0" fontId="28" fillId="20" borderId="2" xfId="0" applyFont="1" applyFill="1" applyBorder="1"/>
    <xf numFmtId="0" fontId="28" fillId="11" borderId="0" xfId="0" applyFont="1" applyFill="1"/>
    <xf numFmtId="0" fontId="28" fillId="20" borderId="4" xfId="0" applyFont="1" applyFill="1" applyBorder="1"/>
    <xf numFmtId="0" fontId="24" fillId="17" borderId="10" xfId="0" applyFont="1" applyFill="1" applyBorder="1"/>
    <xf numFmtId="0" fontId="24" fillId="17" borderId="11" xfId="0" applyFont="1" applyFill="1" applyBorder="1"/>
    <xf numFmtId="0" fontId="24" fillId="21" borderId="5" xfId="0" applyFont="1" applyFill="1" applyBorder="1"/>
    <xf numFmtId="0" fontId="16" fillId="0" borderId="5" xfId="0" applyFont="1" applyBorder="1"/>
    <xf numFmtId="0" fontId="24" fillId="0" borderId="5" xfId="0" applyFont="1" applyBorder="1"/>
    <xf numFmtId="9" fontId="24" fillId="0" borderId="5" xfId="0" applyNumberFormat="1" applyFont="1" applyBorder="1"/>
    <xf numFmtId="0" fontId="16" fillId="21" borderId="5" xfId="0" applyFont="1" applyFill="1" applyBorder="1"/>
    <xf numFmtId="9" fontId="24" fillId="22" borderId="5" xfId="0" applyNumberFormat="1" applyFont="1" applyFill="1" applyBorder="1"/>
    <xf numFmtId="0" fontId="24" fillId="22" borderId="5" xfId="0" applyFont="1" applyFill="1" applyBorder="1"/>
    <xf numFmtId="2" fontId="24" fillId="0" borderId="5" xfId="0" applyNumberFormat="1" applyFont="1" applyBorder="1"/>
    <xf numFmtId="0" fontId="30" fillId="21" borderId="5" xfId="0" applyFont="1" applyFill="1" applyBorder="1"/>
    <xf numFmtId="170" fontId="24" fillId="17" borderId="0" xfId="0" applyNumberFormat="1" applyFont="1" applyFill="1"/>
    <xf numFmtId="0" fontId="31" fillId="17" borderId="0" xfId="0" applyFont="1" applyFill="1"/>
    <xf numFmtId="2" fontId="24" fillId="0" borderId="0" xfId="0" applyNumberFormat="1" applyFont="1"/>
    <xf numFmtId="0" fontId="32" fillId="11" borderId="0" xfId="0" applyFont="1" applyFill="1" applyAlignment="1">
      <alignment horizontal="center" wrapText="1"/>
    </xf>
    <xf numFmtId="0" fontId="33" fillId="0" borderId="0" xfId="0" applyFont="1" applyAlignment="1">
      <alignment wrapText="1"/>
    </xf>
    <xf numFmtId="0" fontId="28" fillId="7" borderId="0" xfId="0" applyFont="1" applyFill="1"/>
    <xf numFmtId="0" fontId="28" fillId="0" borderId="0" xfId="0" applyFont="1"/>
    <xf numFmtId="0" fontId="24" fillId="7" borderId="0" xfId="0" applyFont="1" applyFill="1"/>
    <xf numFmtId="0" fontId="27" fillId="7" borderId="0" xfId="0" applyFont="1" applyFill="1"/>
    <xf numFmtId="1" fontId="28" fillId="0" borderId="0" xfId="0" applyNumberFormat="1" applyFont="1"/>
    <xf numFmtId="9" fontId="28" fillId="0" borderId="0" xfId="0" applyNumberFormat="1" applyFont="1"/>
    <xf numFmtId="9" fontId="28" fillId="0" borderId="0" xfId="6" applyFont="1" applyFill="1" applyProtection="1"/>
    <xf numFmtId="1" fontId="28" fillId="0" borderId="0" xfId="6" applyNumberFormat="1" applyFont="1" applyFill="1" applyProtection="1"/>
    <xf numFmtId="2" fontId="28" fillId="0" borderId="0" xfId="0" applyNumberFormat="1" applyFont="1"/>
    <xf numFmtId="0" fontId="28" fillId="17" borderId="0" xfId="0" applyFont="1" applyFill="1"/>
    <xf numFmtId="0" fontId="34" fillId="17" borderId="0" xfId="0" applyFont="1" applyFill="1"/>
    <xf numFmtId="168" fontId="28" fillId="0" borderId="0" xfId="6" applyNumberFormat="1" applyFont="1" applyFill="1" applyProtection="1"/>
    <xf numFmtId="10" fontId="28" fillId="17" borderId="0" xfId="0" applyNumberFormat="1" applyFont="1" applyFill="1"/>
    <xf numFmtId="0" fontId="27" fillId="20" borderId="2" xfId="0" applyFont="1" applyFill="1" applyBorder="1"/>
    <xf numFmtId="0" fontId="27" fillId="20" borderId="2" xfId="0" applyFont="1" applyFill="1" applyBorder="1" applyAlignment="1">
      <alignment horizontal="center"/>
    </xf>
    <xf numFmtId="0" fontId="28" fillId="22" borderId="0" xfId="0" applyFont="1" applyFill="1"/>
    <xf numFmtId="0" fontId="27" fillId="22" borderId="0" xfId="0" applyFont="1" applyFill="1"/>
    <xf numFmtId="166" fontId="28" fillId="0" borderId="0" xfId="0" applyNumberFormat="1" applyFont="1"/>
    <xf numFmtId="9" fontId="28" fillId="0" borderId="0" xfId="6" applyFont="1" applyFill="1" applyBorder="1" applyProtection="1"/>
    <xf numFmtId="2" fontId="28" fillId="0" borderId="0" xfId="6" applyNumberFormat="1" applyFont="1" applyFill="1" applyBorder="1" applyProtection="1"/>
    <xf numFmtId="10" fontId="28" fillId="0" borderId="0" xfId="0" applyNumberFormat="1" applyFont="1"/>
    <xf numFmtId="0" fontId="27" fillId="6" borderId="0" xfId="0" applyFont="1" applyFill="1"/>
    <xf numFmtId="2" fontId="28" fillId="11" borderId="2" xfId="0" applyNumberFormat="1" applyFont="1" applyFill="1" applyBorder="1"/>
    <xf numFmtId="2" fontId="28" fillId="11" borderId="0" xfId="0" applyNumberFormat="1" applyFont="1" applyFill="1"/>
    <xf numFmtId="0" fontId="28" fillId="20" borderId="0" xfId="0" applyFont="1" applyFill="1"/>
    <xf numFmtId="2" fontId="28" fillId="23" borderId="0" xfId="0" applyNumberFormat="1" applyFont="1" applyFill="1"/>
    <xf numFmtId="10" fontId="28" fillId="23" borderId="0" xfId="6" applyNumberFormat="1" applyFont="1" applyFill="1" applyBorder="1" applyProtection="1"/>
    <xf numFmtId="0" fontId="28" fillId="20" borderId="0" xfId="0" applyFont="1" applyFill="1" applyAlignment="1">
      <alignment horizontal="center"/>
    </xf>
    <xf numFmtId="0" fontId="24" fillId="20" borderId="0" xfId="0" applyFont="1" applyFill="1"/>
    <xf numFmtId="2" fontId="28" fillId="0" borderId="2" xfId="0" applyNumberFormat="1" applyFont="1" applyBorder="1"/>
    <xf numFmtId="168" fontId="28" fillId="23" borderId="0" xfId="6" applyNumberFormat="1" applyFont="1" applyFill="1" applyBorder="1" applyProtection="1"/>
    <xf numFmtId="166" fontId="28" fillId="0" borderId="0" xfId="6" applyNumberFormat="1" applyFont="1" applyFill="1" applyBorder="1" applyProtection="1"/>
    <xf numFmtId="166" fontId="24" fillId="0" borderId="5" xfId="0" applyNumberFormat="1" applyFont="1" applyBorder="1"/>
    <xf numFmtId="44" fontId="24" fillId="0" borderId="5" xfId="7" applyFont="1" applyBorder="1"/>
    <xf numFmtId="44" fontId="14" fillId="15" borderId="0" xfId="7" applyFont="1" applyFill="1"/>
    <xf numFmtId="44" fontId="24" fillId="22" borderId="5" xfId="7" applyFont="1" applyFill="1" applyBorder="1"/>
    <xf numFmtId="0" fontId="24" fillId="11" borderId="9" xfId="0" applyFont="1" applyFill="1" applyBorder="1"/>
    <xf numFmtId="0" fontId="16" fillId="19" borderId="16" xfId="0" applyFont="1" applyFill="1" applyBorder="1" applyAlignment="1">
      <alignment horizontal="center"/>
    </xf>
    <xf numFmtId="0" fontId="24" fillId="19" borderId="0" xfId="0" applyFont="1" applyFill="1" applyAlignment="1">
      <alignment horizontal="center"/>
    </xf>
    <xf numFmtId="0" fontId="30" fillId="11" borderId="16" xfId="0" applyFont="1" applyFill="1" applyBorder="1"/>
    <xf numFmtId="0" fontId="24" fillId="20" borderId="20" xfId="0" applyFont="1" applyFill="1" applyBorder="1"/>
    <xf numFmtId="0" fontId="24" fillId="11" borderId="16" xfId="0" applyFont="1" applyFill="1" applyBorder="1"/>
    <xf numFmtId="0" fontId="24" fillId="20" borderId="2" xfId="0" applyFont="1" applyFill="1" applyBorder="1"/>
    <xf numFmtId="0" fontId="24" fillId="11" borderId="13" xfId="0" applyFont="1" applyFill="1" applyBorder="1" applyAlignment="1">
      <alignment wrapText="1"/>
    </xf>
    <xf numFmtId="0" fontId="24" fillId="11" borderId="14" xfId="0" applyFont="1" applyFill="1" applyBorder="1" applyAlignment="1">
      <alignment horizontal="center" wrapText="1"/>
    </xf>
    <xf numFmtId="0" fontId="24" fillId="11" borderId="15" xfId="0" applyFont="1" applyFill="1" applyBorder="1" applyAlignment="1">
      <alignment wrapText="1"/>
    </xf>
    <xf numFmtId="0" fontId="24" fillId="21" borderId="16" xfId="0" applyFont="1" applyFill="1" applyBorder="1"/>
    <xf numFmtId="0" fontId="24" fillId="24" borderId="0" xfId="0" applyFont="1" applyFill="1"/>
    <xf numFmtId="166" fontId="24" fillId="24" borderId="0" xfId="0" applyNumberFormat="1" applyFont="1" applyFill="1"/>
    <xf numFmtId="2" fontId="24" fillId="24" borderId="0" xfId="0" applyNumberFormat="1" applyFont="1" applyFill="1"/>
    <xf numFmtId="166" fontId="24" fillId="20" borderId="0" xfId="0" applyNumberFormat="1" applyFont="1" applyFill="1"/>
    <xf numFmtId="0" fontId="24" fillId="21" borderId="18" xfId="0" applyFont="1" applyFill="1" applyBorder="1"/>
    <xf numFmtId="0" fontId="24" fillId="20" borderId="19" xfId="0" applyFont="1" applyFill="1" applyBorder="1"/>
    <xf numFmtId="1" fontId="24" fillId="24" borderId="19" xfId="0" applyNumberFormat="1" applyFont="1" applyFill="1" applyBorder="1"/>
    <xf numFmtId="0" fontId="24" fillId="24" borderId="19" xfId="0" applyFont="1" applyFill="1" applyBorder="1"/>
    <xf numFmtId="44" fontId="24" fillId="17" borderId="0" xfId="0" applyNumberFormat="1" applyFont="1" applyFill="1"/>
    <xf numFmtId="43" fontId="24" fillId="20" borderId="0" xfId="0" applyNumberFormat="1" applyFont="1" applyFill="1"/>
    <xf numFmtId="44" fontId="24" fillId="17" borderId="0" xfId="7" applyFont="1" applyFill="1"/>
    <xf numFmtId="44" fontId="24" fillId="24" borderId="0" xfId="7" applyFont="1" applyFill="1"/>
    <xf numFmtId="44" fontId="24" fillId="17" borderId="5" xfId="0" applyNumberFormat="1" applyFont="1" applyFill="1" applyBorder="1" applyAlignment="1">
      <alignment wrapText="1"/>
    </xf>
    <xf numFmtId="0" fontId="24" fillId="19" borderId="0" xfId="0" applyFont="1" applyFill="1" applyAlignment="1">
      <alignment horizontal="center" wrapText="1"/>
    </xf>
    <xf numFmtId="0" fontId="24" fillId="19" borderId="23" xfId="0" applyFont="1" applyFill="1" applyBorder="1" applyAlignment="1">
      <alignment horizontal="center" wrapText="1"/>
    </xf>
    <xf numFmtId="0" fontId="24" fillId="11" borderId="22" xfId="0" applyFont="1" applyFill="1" applyBorder="1" applyAlignment="1">
      <alignment wrapText="1"/>
    </xf>
    <xf numFmtId="0" fontId="24" fillId="11" borderId="12" xfId="0" applyFont="1" applyFill="1" applyBorder="1" applyAlignment="1">
      <alignment horizontal="center" wrapText="1"/>
    </xf>
    <xf numFmtId="0" fontId="35" fillId="11" borderId="0" xfId="0" applyFont="1" applyFill="1" applyAlignment="1">
      <alignment horizontal="center" wrapText="1"/>
    </xf>
    <xf numFmtId="0" fontId="24" fillId="11" borderId="0" xfId="0" applyFont="1" applyFill="1"/>
    <xf numFmtId="166" fontId="24" fillId="6" borderId="5" xfId="0" applyNumberFormat="1" applyFont="1" applyFill="1" applyBorder="1"/>
    <xf numFmtId="1" fontId="24" fillId="0" borderId="5" xfId="0" applyNumberFormat="1" applyFont="1" applyBorder="1"/>
    <xf numFmtId="2" fontId="24" fillId="11" borderId="5" xfId="0" applyNumberFormat="1" applyFont="1" applyFill="1" applyBorder="1"/>
    <xf numFmtId="0" fontId="16" fillId="25" borderId="5" xfId="0" applyFont="1" applyFill="1" applyBorder="1"/>
    <xf numFmtId="10" fontId="24" fillId="25" borderId="5" xfId="6" applyNumberFormat="1" applyFont="1" applyFill="1" applyBorder="1" applyProtection="1"/>
    <xf numFmtId="0" fontId="24" fillId="25" borderId="5" xfId="0" applyFont="1" applyFill="1" applyBorder="1"/>
    <xf numFmtId="0" fontId="16" fillId="7" borderId="0" xfId="0" applyFont="1" applyFill="1"/>
    <xf numFmtId="10" fontId="24" fillId="7" borderId="0" xfId="6" applyNumberFormat="1" applyFont="1" applyFill="1" applyBorder="1" applyProtection="1"/>
    <xf numFmtId="0" fontId="24" fillId="11" borderId="5" xfId="0" applyFont="1" applyFill="1" applyBorder="1"/>
    <xf numFmtId="166" fontId="24" fillId="11" borderId="5" xfId="0" applyNumberFormat="1" applyFont="1" applyFill="1" applyBorder="1"/>
    <xf numFmtId="1" fontId="24" fillId="11" borderId="5" xfId="0" applyNumberFormat="1" applyFont="1" applyFill="1" applyBorder="1"/>
    <xf numFmtId="10" fontId="24" fillId="0" borderId="5" xfId="6" applyNumberFormat="1" applyFont="1" applyBorder="1" applyProtection="1"/>
    <xf numFmtId="0" fontId="16" fillId="0" borderId="5" xfId="0" applyFont="1" applyBorder="1" applyAlignment="1">
      <alignment horizontal="center"/>
    </xf>
    <xf numFmtId="0" fontId="16" fillId="7" borderId="24" xfId="0" applyFont="1" applyFill="1" applyBorder="1"/>
    <xf numFmtId="0" fontId="16" fillId="0" borderId="5" xfId="0" applyFont="1" applyBorder="1" applyAlignment="1">
      <alignment wrapText="1"/>
    </xf>
    <xf numFmtId="166" fontId="16" fillId="11" borderId="5" xfId="0" applyNumberFormat="1" applyFont="1" applyFill="1" applyBorder="1" applyAlignment="1">
      <alignment horizontal="center"/>
    </xf>
    <xf numFmtId="166" fontId="16" fillId="21" borderId="5" xfId="0" applyNumberFormat="1" applyFont="1" applyFill="1" applyBorder="1" applyAlignment="1">
      <alignment horizontal="center"/>
    </xf>
    <xf numFmtId="166" fontId="24" fillId="21" borderId="5" xfId="0" applyNumberFormat="1" applyFont="1" applyFill="1" applyBorder="1"/>
    <xf numFmtId="2" fontId="24" fillId="21" borderId="5" xfId="0" applyNumberFormat="1" applyFont="1" applyFill="1" applyBorder="1"/>
    <xf numFmtId="1" fontId="24" fillId="21" borderId="5" xfId="0" applyNumberFormat="1" applyFont="1" applyFill="1" applyBorder="1"/>
    <xf numFmtId="10" fontId="24" fillId="11" borderId="5" xfId="6" applyNumberFormat="1" applyFont="1" applyFill="1" applyBorder="1" applyProtection="1"/>
    <xf numFmtId="10" fontId="24" fillId="21" borderId="5" xfId="6" applyNumberFormat="1" applyFont="1" applyFill="1" applyBorder="1" applyProtection="1"/>
    <xf numFmtId="44" fontId="24" fillId="0" borderId="5" xfId="0" applyNumberFormat="1" applyFont="1" applyBorder="1"/>
    <xf numFmtId="44" fontId="24" fillId="6" borderId="5" xfId="0" applyNumberFormat="1" applyFont="1" applyFill="1" applyBorder="1"/>
    <xf numFmtId="1" fontId="24" fillId="15" borderId="5" xfId="0" applyNumberFormat="1" applyFont="1" applyFill="1" applyBorder="1"/>
    <xf numFmtId="0" fontId="24" fillId="15" borderId="19" xfId="0" applyFont="1" applyFill="1" applyBorder="1"/>
    <xf numFmtId="0" fontId="16" fillId="0" borderId="14" xfId="0" applyFont="1" applyBorder="1" applyAlignment="1">
      <alignment horizontal="center" wrapText="1"/>
    </xf>
    <xf numFmtId="0" fontId="16" fillId="0" borderId="5" xfId="0" applyFont="1" applyBorder="1" applyAlignment="1">
      <alignment horizontal="center" wrapText="1"/>
    </xf>
    <xf numFmtId="44" fontId="24" fillId="11" borderId="5" xfId="7" applyFont="1" applyFill="1" applyBorder="1"/>
    <xf numFmtId="44" fontId="24" fillId="21" borderId="5" xfId="7" applyFont="1" applyFill="1" applyBorder="1"/>
    <xf numFmtId="44" fontId="24" fillId="21" borderId="0" xfId="7" applyFont="1" applyFill="1"/>
    <xf numFmtId="44" fontId="24" fillId="22" borderId="5" xfId="0" applyNumberFormat="1" applyFont="1" applyFill="1" applyBorder="1"/>
    <xf numFmtId="0" fontId="0" fillId="0" borderId="20" xfId="0" applyBorder="1" applyAlignment="1">
      <alignment vertical="center" wrapText="1"/>
    </xf>
    <xf numFmtId="0" fontId="1" fillId="0" borderId="20" xfId="0" applyFont="1" applyBorder="1" applyAlignment="1">
      <alignment vertical="center" wrapText="1"/>
    </xf>
    <xf numFmtId="6" fontId="0" fillId="0" borderId="20" xfId="0" applyNumberFormat="1" applyBorder="1" applyAlignment="1">
      <alignment vertical="center" wrapText="1"/>
    </xf>
    <xf numFmtId="0" fontId="0" fillId="0" borderId="0" xfId="0" applyAlignment="1">
      <alignment vertical="center" wrapText="1"/>
    </xf>
    <xf numFmtId="8" fontId="0" fillId="0" borderId="0" xfId="0" applyNumberFormat="1"/>
    <xf numFmtId="0" fontId="0" fillId="15" borderId="5" xfId="0" applyFill="1" applyBorder="1"/>
    <xf numFmtId="8" fontId="0" fillId="15" borderId="5" xfId="0" applyNumberFormat="1" applyFill="1" applyBorder="1"/>
    <xf numFmtId="43" fontId="4" fillId="0" borderId="0" xfId="2" applyNumberFormat="1" applyBorder="1" applyAlignment="1" applyProtection="1">
      <alignment horizontal="center"/>
    </xf>
    <xf numFmtId="43" fontId="2" fillId="4" borderId="0" xfId="5" applyNumberFormat="1" applyFont="1" applyBorder="1" applyAlignment="1">
      <alignment horizontal="center"/>
    </xf>
    <xf numFmtId="166" fontId="13" fillId="8" borderId="2" xfId="10" applyNumberFormat="1" applyFont="1" applyFill="1" applyBorder="1" applyAlignment="1" applyProtection="1">
      <alignment horizontal="center"/>
    </xf>
    <xf numFmtId="166" fontId="13" fillId="8" borderId="3" xfId="10" applyNumberFormat="1" applyFont="1" applyFill="1" applyBorder="1" applyAlignment="1" applyProtection="1">
      <alignment horizontal="center"/>
    </xf>
    <xf numFmtId="166" fontId="13" fillId="13" borderId="0" xfId="9" applyNumberFormat="1" applyFont="1" applyFill="1" applyAlignment="1">
      <alignment horizontal="center"/>
    </xf>
    <xf numFmtId="0" fontId="24" fillId="17" borderId="0" xfId="0" applyFont="1" applyFill="1" applyAlignment="1">
      <alignment horizontal="center" wrapText="1"/>
    </xf>
    <xf numFmtId="0" fontId="24" fillId="17" borderId="17" xfId="0" applyFont="1" applyFill="1" applyBorder="1" applyAlignment="1">
      <alignment horizontal="center" wrapText="1"/>
    </xf>
    <xf numFmtId="0" fontId="22" fillId="18" borderId="6" xfId="0" applyFont="1" applyFill="1" applyBorder="1" applyAlignment="1">
      <alignment horizontal="center" wrapText="1"/>
    </xf>
    <xf numFmtId="0" fontId="22" fillId="18" borderId="7" xfId="0" applyFont="1" applyFill="1" applyBorder="1" applyAlignment="1">
      <alignment horizontal="center" wrapText="1"/>
    </xf>
    <xf numFmtId="0" fontId="25" fillId="11" borderId="8" xfId="0" applyFont="1" applyFill="1" applyBorder="1" applyAlignment="1">
      <alignment horizontal="center" wrapText="1"/>
    </xf>
    <xf numFmtId="0" fontId="25" fillId="11" borderId="9" xfId="0" applyFont="1" applyFill="1" applyBorder="1" applyAlignment="1">
      <alignment horizontal="center" wrapText="1"/>
    </xf>
    <xf numFmtId="0" fontId="27" fillId="19" borderId="4" xfId="0" applyFont="1" applyFill="1" applyBorder="1" applyAlignment="1">
      <alignment horizontal="center" wrapText="1"/>
    </xf>
    <xf numFmtId="0" fontId="28" fillId="11" borderId="4" xfId="0" applyFont="1" applyFill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13" xfId="0" applyFont="1" applyBorder="1" applyAlignment="1">
      <alignment horizontal="center" wrapText="1"/>
    </xf>
    <xf numFmtId="44" fontId="24" fillId="0" borderId="12" xfId="7" applyFont="1" applyBorder="1" applyAlignment="1">
      <alignment horizontal="center" wrapText="1"/>
    </xf>
    <xf numFmtId="44" fontId="24" fillId="0" borderId="13" xfId="7" applyFont="1" applyBorder="1" applyAlignment="1">
      <alignment horizontal="center" wrapText="1"/>
    </xf>
    <xf numFmtId="9" fontId="24" fillId="0" borderId="12" xfId="6" applyFont="1" applyFill="1" applyBorder="1" applyAlignment="1" applyProtection="1">
      <alignment horizontal="center" wrapText="1"/>
    </xf>
    <xf numFmtId="9" fontId="24" fillId="0" borderId="13" xfId="6" applyFont="1" applyFill="1" applyBorder="1" applyAlignment="1" applyProtection="1">
      <alignment horizontal="center" wrapText="1"/>
    </xf>
    <xf numFmtId="0" fontId="25" fillId="0" borderId="9" xfId="0" applyFont="1" applyBorder="1" applyAlignment="1">
      <alignment wrapText="1"/>
    </xf>
    <xf numFmtId="0" fontId="26" fillId="0" borderId="9" xfId="0" applyFont="1" applyBorder="1" applyAlignment="1">
      <alignment wrapText="1"/>
    </xf>
    <xf numFmtId="0" fontId="24" fillId="11" borderId="6" xfId="0" applyFont="1" applyFill="1" applyBorder="1" applyAlignment="1">
      <alignment horizontal="center" wrapText="1"/>
    </xf>
    <xf numFmtId="0" fontId="24" fillId="0" borderId="7" xfId="0" applyFont="1" applyBorder="1" applyAlignment="1">
      <alignment wrapText="1"/>
    </xf>
    <xf numFmtId="0" fontId="24" fillId="11" borderId="12" xfId="0" applyFont="1" applyFill="1" applyBorder="1" applyAlignment="1">
      <alignment wrapText="1"/>
    </xf>
    <xf numFmtId="0" fontId="24" fillId="0" borderId="21" xfId="0" applyFont="1" applyBorder="1" applyAlignment="1">
      <alignment wrapText="1"/>
    </xf>
    <xf numFmtId="2" fontId="24" fillId="0" borderId="12" xfId="0" applyNumberFormat="1" applyFont="1" applyBorder="1" applyAlignment="1">
      <alignment horizontal="center" wrapText="1"/>
    </xf>
    <xf numFmtId="2" fontId="24" fillId="0" borderId="13" xfId="0" applyNumberFormat="1" applyFont="1" applyBorder="1" applyAlignment="1">
      <alignment horizontal="center" wrapText="1"/>
    </xf>
    <xf numFmtId="0" fontId="32" fillId="11" borderId="0" xfId="0" applyFont="1" applyFill="1" applyAlignment="1">
      <alignment horizontal="center" wrapText="1"/>
    </xf>
    <xf numFmtId="0" fontId="16" fillId="0" borderId="5" xfId="0" applyFont="1" applyBorder="1" applyAlignment="1">
      <alignment wrapText="1"/>
    </xf>
    <xf numFmtId="0" fontId="35" fillId="11" borderId="0" xfId="0" applyFont="1" applyFill="1" applyAlignment="1">
      <alignment horizontal="center" wrapText="1"/>
    </xf>
    <xf numFmtId="0" fontId="33" fillId="0" borderId="0" xfId="0" applyFont="1" applyAlignment="1">
      <alignment wrapText="1"/>
    </xf>
    <xf numFmtId="0" fontId="24" fillId="0" borderId="21" xfId="0" applyFont="1" applyBorder="1" applyAlignment="1">
      <alignment horizontal="center" wrapText="1"/>
    </xf>
    <xf numFmtId="0" fontId="24" fillId="0" borderId="3" xfId="0" applyFont="1" applyBorder="1" applyAlignment="1">
      <alignment horizontal="center" wrapText="1"/>
    </xf>
    <xf numFmtId="0" fontId="24" fillId="21" borderId="14" xfId="0" applyFont="1" applyFill="1" applyBorder="1" applyAlignment="1">
      <alignment wrapText="1"/>
    </xf>
    <xf numFmtId="0" fontId="24" fillId="21" borderId="15" xfId="0" applyFont="1" applyFill="1" applyBorder="1" applyAlignment="1">
      <alignment wrapText="1"/>
    </xf>
    <xf numFmtId="0" fontId="24" fillId="0" borderId="25" xfId="0" applyFont="1" applyBorder="1" applyAlignment="1">
      <alignment horizontal="center" wrapText="1"/>
    </xf>
    <xf numFmtId="0" fontId="24" fillId="0" borderId="11" xfId="0" applyFont="1" applyBorder="1" applyAlignment="1">
      <alignment horizontal="center" wrapText="1"/>
    </xf>
  </cellXfs>
  <cellStyles count="11">
    <cellStyle name="_x000a_386grabber=M" xfId="8" xr:uid="{552AA9A2-CA70-43B7-94D5-D65BC15F5068}"/>
    <cellStyle name="60% - Accent1" xfId="3" builtinId="32"/>
    <cellStyle name="60% - Accent3" xfId="4" builtinId="40"/>
    <cellStyle name="Accent6" xfId="5" builtinId="49"/>
    <cellStyle name="AFE" xfId="10" xr:uid="{7B3554A1-3E94-4973-9A13-0FAFE277B5F6}"/>
    <cellStyle name="Comma" xfId="1" builtinId="3"/>
    <cellStyle name="Currency" xfId="7" builtinId="4"/>
    <cellStyle name="Hyperlink" xfId="2" builtinId="8"/>
    <cellStyle name="Normal" xfId="0" builtinId="0"/>
    <cellStyle name="Normal_Ch01 Pics v2.2" xfId="9" xr:uid="{E24CF4B5-433B-467B-A9D7-7F804CEC6893}"/>
    <cellStyle name="Percent" xfId="6" builtinId="5"/>
  </cellStyles>
  <dxfs count="35">
    <dxf>
      <font>
        <b/>
        <i val="0"/>
        <color theme="0"/>
      </font>
      <fill>
        <patternFill>
          <bgColor theme="5"/>
        </patternFill>
      </fill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65" formatCode="[$-409]mmm\-yy;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412904908625557E-2"/>
          <c:y val="4.1558441558441558E-2"/>
          <c:w val="0.89308605989468703"/>
          <c:h val="0.802343252547977"/>
        </c:manualLayout>
      </c:layout>
      <c:lineChart>
        <c:grouping val="standard"/>
        <c:varyColors val="0"/>
        <c:ser>
          <c:idx val="0"/>
          <c:order val="0"/>
          <c:tx>
            <c:strRef>
              <c:f>'Forecast working capital'!$B$1</c:f>
              <c:strCache>
                <c:ptCount val="1"/>
                <c:pt idx="0">
                  <c:v>Values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'Forecast working capital'!$B$2:$B$16</c:f>
              <c:numCache>
                <c:formatCode>_(* #,##0.00_);_(* \(#,##0.00\);_(* "-"??_);_(@_)</c:formatCode>
                <c:ptCount val="15"/>
                <c:pt idx="0">
                  <c:v>1473.5800000000004</c:v>
                </c:pt>
                <c:pt idx="1">
                  <c:v>-537.5600000000004</c:v>
                </c:pt>
                <c:pt idx="2">
                  <c:v>-738.82999999999947</c:v>
                </c:pt>
                <c:pt idx="3">
                  <c:v>1226.8800000000001</c:v>
                </c:pt>
                <c:pt idx="4">
                  <c:v>-828.64000000000124</c:v>
                </c:pt>
                <c:pt idx="5">
                  <c:v>909.83000000000084</c:v>
                </c:pt>
                <c:pt idx="6">
                  <c:v>410.32999999999993</c:v>
                </c:pt>
                <c:pt idx="7">
                  <c:v>-1059.6900000000005</c:v>
                </c:pt>
                <c:pt idx="8">
                  <c:v>-840.35000000000036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AA-41D0-9F85-B788B20234A7}"/>
            </c:ext>
          </c:extLst>
        </c:ser>
        <c:ser>
          <c:idx val="1"/>
          <c:order val="1"/>
          <c:tx>
            <c:strRef>
              <c:f>'Forecast working capital'!$C$1</c:f>
              <c:strCache>
                <c:ptCount val="1"/>
                <c:pt idx="0">
                  <c:v>Forecast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'Forecast working capital'!$A$2:$A$16</c:f>
              <c:numCache>
                <c:formatCode>[$-409]mmm\-yy;@</c:formatCode>
                <c:ptCount val="15"/>
                <c:pt idx="0">
                  <c:v>42460</c:v>
                </c:pt>
                <c:pt idx="1">
                  <c:v>42825</c:v>
                </c:pt>
                <c:pt idx="2">
                  <c:v>43190</c:v>
                </c:pt>
                <c:pt idx="3">
                  <c:v>43555</c:v>
                </c:pt>
                <c:pt idx="4">
                  <c:v>43921</c:v>
                </c:pt>
                <c:pt idx="5">
                  <c:v>44286</c:v>
                </c:pt>
                <c:pt idx="6">
                  <c:v>44651</c:v>
                </c:pt>
                <c:pt idx="7">
                  <c:v>45016</c:v>
                </c:pt>
                <c:pt idx="8">
                  <c:v>45382</c:v>
                </c:pt>
                <c:pt idx="9">
                  <c:v>45747</c:v>
                </c:pt>
                <c:pt idx="10">
                  <c:v>46112</c:v>
                </c:pt>
                <c:pt idx="11">
                  <c:v>46477</c:v>
                </c:pt>
                <c:pt idx="12">
                  <c:v>46843</c:v>
                </c:pt>
                <c:pt idx="13">
                  <c:v>47208</c:v>
                </c:pt>
                <c:pt idx="14">
                  <c:v>47573</c:v>
                </c:pt>
              </c:numCache>
            </c:numRef>
          </c:cat>
          <c:val>
            <c:numRef>
              <c:f>'Forecast working capital'!$C$2:$C$16</c:f>
              <c:numCache>
                <c:formatCode>General</c:formatCode>
                <c:ptCount val="15"/>
                <c:pt idx="8" formatCode="_(* #,##0.00_);_(* \(#,##0.00\);_(* &quot;-&quot;??_);_(@_)">
                  <c:v>-840.35000000000036</c:v>
                </c:pt>
                <c:pt idx="9" formatCode="_(* #,##0.00_);_(* \(#,##0.00\);_(* &quot;-&quot;??_);_(@_)">
                  <c:v>639.70756695637124</c:v>
                </c:pt>
                <c:pt idx="10" formatCode="_(* #,##0.00_);_(* \(#,##0.00\);_(* &quot;-&quot;??_);_(@_)">
                  <c:v>-1287.1769686272828</c:v>
                </c:pt>
                <c:pt idx="11" formatCode="_(* #,##0.00_);_(* \(#,##0.00\);_(* &quot;-&quot;??_);_(@_)">
                  <c:v>-1192.4784249186691</c:v>
                </c:pt>
                <c:pt idx="12" formatCode="_(* #,##0.00_);_(* \(#,##0.00\);_(* &quot;-&quot;??_);_(@_)">
                  <c:v>385.60339631020463</c:v>
                </c:pt>
                <c:pt idx="13" formatCode="_(* #,##0.00_);_(* \(#,##0.00\);_(* &quot;-&quot;??_);_(@_)">
                  <c:v>-1541.2811392734493</c:v>
                </c:pt>
                <c:pt idx="14" formatCode="_(* #,##0.00_);_(* \(#,##0.00\);_(* &quot;-&quot;??_);_(@_)">
                  <c:v>-1446.5825955648359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AA-41D0-9F85-B788B20234A7}"/>
            </c:ext>
          </c:extLst>
        </c:ser>
        <c:ser>
          <c:idx val="2"/>
          <c:order val="2"/>
          <c:tx>
            <c:strRef>
              <c:f>'Forecast working capital'!$D$1</c:f>
              <c:strCache>
                <c:ptCount val="1"/>
                <c:pt idx="0">
                  <c:v>Lower Confidence Bound</c:v>
                </c:pt>
              </c:strCache>
            </c:strRef>
          </c:tx>
          <c:spPr>
            <a:ln w="12700" cap="rnd">
              <a:solidFill>
                <a:srgbClr val="DA1F28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'Forecast working capital'!$A$2:$A$16</c:f>
              <c:numCache>
                <c:formatCode>[$-409]mmm\-yy;@</c:formatCode>
                <c:ptCount val="15"/>
                <c:pt idx="0">
                  <c:v>42460</c:v>
                </c:pt>
                <c:pt idx="1">
                  <c:v>42825</c:v>
                </c:pt>
                <c:pt idx="2">
                  <c:v>43190</c:v>
                </c:pt>
                <c:pt idx="3">
                  <c:v>43555</c:v>
                </c:pt>
                <c:pt idx="4">
                  <c:v>43921</c:v>
                </c:pt>
                <c:pt idx="5">
                  <c:v>44286</c:v>
                </c:pt>
                <c:pt idx="6">
                  <c:v>44651</c:v>
                </c:pt>
                <c:pt idx="7">
                  <c:v>45016</c:v>
                </c:pt>
                <c:pt idx="8">
                  <c:v>45382</c:v>
                </c:pt>
                <c:pt idx="9">
                  <c:v>45747</c:v>
                </c:pt>
                <c:pt idx="10">
                  <c:v>46112</c:v>
                </c:pt>
                <c:pt idx="11">
                  <c:v>46477</c:v>
                </c:pt>
                <c:pt idx="12">
                  <c:v>46843</c:v>
                </c:pt>
                <c:pt idx="13">
                  <c:v>47208</c:v>
                </c:pt>
                <c:pt idx="14">
                  <c:v>47573</c:v>
                </c:pt>
              </c:numCache>
            </c:numRef>
          </c:cat>
          <c:val>
            <c:numRef>
              <c:f>'Forecast working capital'!$D$2:$D$16</c:f>
              <c:numCache>
                <c:formatCode>General</c:formatCode>
                <c:ptCount val="15"/>
                <c:pt idx="8" formatCode="_(* #,##0.00_);_(* \(#,##0.00\);_(* &quot;-&quot;??_);_(@_)">
                  <c:v>-840.35000000000036</c:v>
                </c:pt>
                <c:pt idx="9" formatCode="_(* #,##0.00_);_(* \(#,##0.00\);_(* &quot;-&quot;??_);_(@_)">
                  <c:v>-620.53077227381868</c:v>
                </c:pt>
                <c:pt idx="10" formatCode="_(* #,##0.00_);_(* \(#,##0.00\);_(* &quot;-&quot;??_);_(@_)">
                  <c:v>-2547.4209789172392</c:v>
                </c:pt>
                <c:pt idx="11" formatCode="_(* #,##0.00_);_(* \(#,##0.00\);_(* &quot;-&quot;??_);_(@_)">
                  <c:v>-2452.7325170296444</c:v>
                </c:pt>
                <c:pt idx="12" formatCode="_(* #,##0.00_);_(* \(#,##0.00\);_(* &quot;-&quot;??_);_(@_)">
                  <c:v>-885.25496245115198</c:v>
                </c:pt>
                <c:pt idx="13" formatCode="_(* #,##0.00_);_(* \(#,##0.00\);_(* &quot;-&quot;??_);_(@_)">
                  <c:v>-2812.1619925629261</c:v>
                </c:pt>
                <c:pt idx="14" formatCode="_(* #,##0.00_);_(* \(#,##0.00\);_(* &quot;-&quot;??_);_(@_)">
                  <c:v>-2717.4940657667144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8AA-41D0-9F85-B788B20234A7}"/>
            </c:ext>
          </c:extLst>
        </c:ser>
        <c:ser>
          <c:idx val="3"/>
          <c:order val="3"/>
          <c:tx>
            <c:strRef>
              <c:f>'Forecast working capital'!$E$1</c:f>
              <c:strCache>
                <c:ptCount val="1"/>
                <c:pt idx="0">
                  <c:v>Upper Confidence Bound</c:v>
                </c:pt>
              </c:strCache>
            </c:strRef>
          </c:tx>
          <c:spPr>
            <a:ln w="12700" cap="rnd">
              <a:solidFill>
                <a:srgbClr val="DA1F28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'Forecast working capital'!$A$2:$A$16</c:f>
              <c:numCache>
                <c:formatCode>[$-409]mmm\-yy;@</c:formatCode>
                <c:ptCount val="15"/>
                <c:pt idx="0">
                  <c:v>42460</c:v>
                </c:pt>
                <c:pt idx="1">
                  <c:v>42825</c:v>
                </c:pt>
                <c:pt idx="2">
                  <c:v>43190</c:v>
                </c:pt>
                <c:pt idx="3">
                  <c:v>43555</c:v>
                </c:pt>
                <c:pt idx="4">
                  <c:v>43921</c:v>
                </c:pt>
                <c:pt idx="5">
                  <c:v>44286</c:v>
                </c:pt>
                <c:pt idx="6">
                  <c:v>44651</c:v>
                </c:pt>
                <c:pt idx="7">
                  <c:v>45016</c:v>
                </c:pt>
                <c:pt idx="8">
                  <c:v>45382</c:v>
                </c:pt>
                <c:pt idx="9">
                  <c:v>45747</c:v>
                </c:pt>
                <c:pt idx="10">
                  <c:v>46112</c:v>
                </c:pt>
                <c:pt idx="11">
                  <c:v>46477</c:v>
                </c:pt>
                <c:pt idx="12">
                  <c:v>46843</c:v>
                </c:pt>
                <c:pt idx="13">
                  <c:v>47208</c:v>
                </c:pt>
                <c:pt idx="14">
                  <c:v>47573</c:v>
                </c:pt>
              </c:numCache>
            </c:numRef>
          </c:cat>
          <c:val>
            <c:numRef>
              <c:f>'Forecast working capital'!$E$2:$E$16</c:f>
              <c:numCache>
                <c:formatCode>General</c:formatCode>
                <c:ptCount val="15"/>
                <c:pt idx="8" formatCode="_(* #,##0.00_);_(* \(#,##0.00\);_(* &quot;-&quot;??_);_(@_)">
                  <c:v>-840.35000000000036</c:v>
                </c:pt>
                <c:pt idx="9" formatCode="_(* #,##0.00_);_(* \(#,##0.00\);_(* &quot;-&quot;??_);_(@_)">
                  <c:v>1899.9459061865612</c:v>
                </c:pt>
                <c:pt idx="10" formatCode="_(* #,##0.00_);_(* \(#,##0.00\);_(* &quot;-&quot;??_);_(@_)">
                  <c:v>-26.932958337326227</c:v>
                </c:pt>
                <c:pt idx="11" formatCode="_(* #,##0.00_);_(* \(#,##0.00\);_(* &quot;-&quot;??_);_(@_)">
                  <c:v>67.775667192306173</c:v>
                </c:pt>
                <c:pt idx="12" formatCode="_(* #,##0.00_);_(* \(#,##0.00\);_(* &quot;-&quot;??_);_(@_)">
                  <c:v>1656.4617550715611</c:v>
                </c:pt>
                <c:pt idx="13" formatCode="_(* #,##0.00_);_(* \(#,##0.00\);_(* &quot;-&quot;??_);_(@_)">
                  <c:v>-270.40028598397248</c:v>
                </c:pt>
                <c:pt idx="14" formatCode="_(* #,##0.00_);_(* \(#,##0.00\);_(* &quot;-&quot;??_);_(@_)">
                  <c:v>-175.67112536295735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8AA-41D0-9F85-B788B20234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42117904"/>
        <c:axId val="1742115984"/>
      </c:lineChart>
      <c:catAx>
        <c:axId val="1742117904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2115984"/>
        <c:crosses val="autoZero"/>
        <c:auto val="1"/>
        <c:lblAlgn val="ctr"/>
        <c:lblOffset val="100"/>
        <c:noMultiLvlLbl val="0"/>
      </c:catAx>
      <c:valAx>
        <c:axId val="1742115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2117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571500</xdr:colOff>
      <xdr:row>1</xdr:row>
      <xdr:rowOff>95250</xdr:rowOff>
    </xdr:from>
    <xdr:to>
      <xdr:col>18</xdr:col>
      <xdr:colOff>314325</xdr:colOff>
      <xdr:row>21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2ACB02-46C8-2ADE-C9D1-51DF1AEB40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91844\Downloads\HBL%20Engineering.xlsx" TargetMode="External"/><Relationship Id="rId1" Type="http://schemas.openxmlformats.org/officeDocument/2006/relationships/externalLinkPath" Target="HBL%20Engineer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fit &amp; Loss"/>
      <sheetName val="Quarters"/>
      <sheetName val="Balance Sheet"/>
      <sheetName val="Cash Flow"/>
      <sheetName val="Data Sheet"/>
      <sheetName val="Valuation"/>
      <sheetName val="forecasted WC"/>
    </sheetNames>
    <sheetDataSet>
      <sheetData sheetId="0">
        <row r="14">
          <cell r="K14">
            <v>44.803588589999997</v>
          </cell>
        </row>
      </sheetData>
      <sheetData sheetId="1"/>
      <sheetData sheetId="2"/>
      <sheetData sheetId="3"/>
      <sheetData sheetId="4"/>
      <sheetData sheetId="5">
        <row r="14">
          <cell r="F14">
            <v>264.62</v>
          </cell>
        </row>
        <row r="40">
          <cell r="I40">
            <v>67.459999999999994</v>
          </cell>
        </row>
        <row r="42">
          <cell r="I42">
            <v>234.95</v>
          </cell>
        </row>
      </sheetData>
      <sheetData sheetId="6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4">
  <tableColumns count="14">
    <tableColumn id="1" xr3:uid="{00000000-0010-0000-0000-000001000000}" name="Column1" headerRowDxfId="33" dataDxfId="32"/>
    <tableColumn id="2" xr3:uid="{00000000-0010-0000-0000-000002000000}" name="Column2" headerRowDxfId="31"/>
    <tableColumn id="3" xr3:uid="{00000000-0010-0000-0000-000003000000}" name="Column3" headerRowDxfId="30"/>
    <tableColumn id="4" xr3:uid="{00000000-0010-0000-0000-000004000000}" name="Column4" headerRowDxfId="29"/>
    <tableColumn id="5" xr3:uid="{00000000-0010-0000-0000-000005000000}" name="Column5" headerRowDxfId="28"/>
    <tableColumn id="6" xr3:uid="{00000000-0010-0000-0000-000006000000}" name="Column6" headerRowDxfId="27"/>
    <tableColumn id="7" xr3:uid="{00000000-0010-0000-0000-000007000000}" name="Column7" headerRowDxfId="26"/>
    <tableColumn id="8" xr3:uid="{00000000-0010-0000-0000-000008000000}" name="Column8" headerRowDxfId="25"/>
    <tableColumn id="9" xr3:uid="{00000000-0010-0000-0000-000009000000}" name="Column9" headerRowDxfId="24"/>
    <tableColumn id="10" xr3:uid="{00000000-0010-0000-0000-00000A000000}" name="Column10" headerRowDxfId="23"/>
    <tableColumn id="11" xr3:uid="{00000000-0010-0000-0000-00000B000000}" name="Column11" headerRowDxfId="22"/>
    <tableColumn id="12" xr3:uid="{00000000-0010-0000-0000-00000C000000}" name="Column12" headerRowDxfId="21"/>
    <tableColumn id="13" xr3:uid="{00000000-0010-0000-0000-00000D000000}" name="Column13" headerRowDxfId="20" dataDxfId="19"/>
    <tableColumn id="14" xr3:uid="{00000000-0010-0000-0000-00000E000000}" name="Column14" headerRowDxfId="18" dataDxfId="17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6">
  <tableColumns count="11">
    <tableColumn id="1" xr3:uid="{00000000-0010-0000-0100-000001000000}" name="Column1" headerRowDxfId="15"/>
    <tableColumn id="2" xr3:uid="{00000000-0010-0000-0100-000002000000}" name="Column2" headerRowDxfId="14"/>
    <tableColumn id="3" xr3:uid="{00000000-0010-0000-0100-000003000000}" name="Column3" headerRowDxfId="13"/>
    <tableColumn id="4" xr3:uid="{00000000-0010-0000-0100-000004000000}" name="Column4" headerRowDxfId="12"/>
    <tableColumn id="5" xr3:uid="{00000000-0010-0000-0100-000005000000}" name="Column5" headerRowDxfId="11"/>
    <tableColumn id="6" xr3:uid="{00000000-0010-0000-0100-000006000000}" name="Column6" headerRowDxfId="10"/>
    <tableColumn id="7" xr3:uid="{00000000-0010-0000-0100-000007000000}" name="Column7" headerRowDxfId="9"/>
    <tableColumn id="8" xr3:uid="{00000000-0010-0000-0100-000008000000}" name="Column8" headerRowDxfId="8"/>
    <tableColumn id="9" xr3:uid="{00000000-0010-0000-0100-000009000000}" name="Column9" headerRowDxfId="7"/>
    <tableColumn id="10" xr3:uid="{00000000-0010-0000-0100-00000A000000}" name="Column10" headerRowDxfId="6"/>
    <tableColumn id="11" xr3:uid="{00000000-0010-0000-0100-00000B000000}" name="Column11" headerRowDxfId="5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F343EBF-3049-4809-9D64-746C50E3F0FA}" name="Table3" displayName="Table3" ref="A1:E16" totalsRowShown="0">
  <autoFilter ref="A1:E16" xr:uid="{6F343EBF-3049-4809-9D64-746C50E3F0FA}"/>
  <tableColumns count="5">
    <tableColumn id="1" xr3:uid="{00BD8BBC-C703-455E-B794-2A0C0DB1CFC2}" name="Timeline" dataDxfId="4"/>
    <tableColumn id="2" xr3:uid="{D82386CF-7980-49AE-8469-53FC6DE4C6D8}" name="Values"/>
    <tableColumn id="3" xr3:uid="{7B2AE27F-300E-416A-B39A-7D0DC0A031F5}" name="Forecast" dataDxfId="3">
      <calculatedColumnFormula>_xlfn.FORECAST.ETS(A2,$B$2:$B$10,$A$2:$A$10,1,1)</calculatedColumnFormula>
    </tableColumn>
    <tableColumn id="4" xr3:uid="{535EC994-3EAC-4783-84AA-78EC5322F51C}" name="Lower Confidence Bound" dataDxfId="2">
      <calculatedColumnFormula>C2-_xlfn.FORECAST.ETS.CONFINT(A2,$B$2:$B$10,$A$2:$A$10,0.95,1,1)</calculatedColumnFormula>
    </tableColumn>
    <tableColumn id="5" xr3:uid="{DED90F8E-6D1D-4E5F-84C2-E36D882AE358}" name="Upper Confidence Bound" dataDxfId="1">
      <calculatedColumnFormula>C2+_xlfn.FORECAST.ETS.CONFINT(A2,$B$2:$B$10,$A$2:$A$10,0.95,1,1)</calculatedColumnFormula>
    </tableColumn>
  </tableColumns>
  <tableStyleInfo name="TableStyleMedium9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zoomScale="97" zoomScaleNormal="120" zoomScaleSheetLayoutView="100" zoomScalePageLayoutView="120" workbookViewId="0">
      <pane xSplit="1" ySplit="4" topLeftCell="B5" activePane="bottomRight" state="frozen"/>
      <selection activeCell="I2" sqref="I2"/>
      <selection pane="topRight" activeCell="I2" sqref="I2"/>
      <selection pane="bottomLeft" activeCell="I2" sqref="I2"/>
      <selection pane="bottomRight" activeCell="N19" sqref="N19"/>
    </sheetView>
  </sheetViews>
  <sheetFormatPr defaultColWidth="8.77734375" defaultRowHeight="14.4" x14ac:dyDescent="0.3"/>
  <cols>
    <col min="1" max="1" width="20.6640625" customWidth="1"/>
    <col min="2" max="6" width="13.44140625" customWidth="1"/>
    <col min="7" max="7" width="14.77734375" bestFit="1" customWidth="1"/>
    <col min="8" max="11" width="13.44140625" customWidth="1"/>
    <col min="12" max="12" width="13.33203125" customWidth="1"/>
    <col min="13" max="14" width="12.109375" customWidth="1"/>
  </cols>
  <sheetData>
    <row r="1" spans="1:14" s="2" customFormat="1" x14ac:dyDescent="0.3">
      <c r="A1" s="2" t="str">
        <f>'Data Sheet'!B1</f>
        <v>BAJAJ AUTO LTD</v>
      </c>
      <c r="H1" t="str">
        <f>UPDATE</f>
        <v/>
      </c>
      <c r="J1" s="3"/>
      <c r="K1" s="3"/>
    </row>
    <row r="3" spans="1:14" s="2" customFormat="1" x14ac:dyDescent="0.3">
      <c r="A3" s="11" t="s">
        <v>1</v>
      </c>
      <c r="B3" s="12">
        <f>'Data Sheet'!B16</f>
        <v>42094</v>
      </c>
      <c r="C3" s="12">
        <f>'Data Sheet'!C16</f>
        <v>42460</v>
      </c>
      <c r="D3" s="12">
        <f>'Data Sheet'!D16</f>
        <v>42825</v>
      </c>
      <c r="E3" s="12">
        <f>'Data Sheet'!E16</f>
        <v>43190</v>
      </c>
      <c r="F3" s="12">
        <f>'Data Sheet'!F16</f>
        <v>43555</v>
      </c>
      <c r="G3" s="12">
        <f>'Data Sheet'!G16</f>
        <v>43921</v>
      </c>
      <c r="H3" s="12">
        <f>'Data Sheet'!H16</f>
        <v>44286</v>
      </c>
      <c r="I3" s="12">
        <f>'Data Sheet'!I16</f>
        <v>44651</v>
      </c>
      <c r="J3" s="12">
        <f>'Data Sheet'!J16</f>
        <v>45016</v>
      </c>
      <c r="K3" s="12">
        <f>'Data Sheet'!K16</f>
        <v>45382</v>
      </c>
      <c r="L3" s="13" t="s">
        <v>2</v>
      </c>
      <c r="M3" s="13" t="s">
        <v>3</v>
      </c>
      <c r="N3" s="13" t="s">
        <v>4</v>
      </c>
    </row>
    <row r="4" spans="1:14" s="2" customFormat="1" x14ac:dyDescent="0.3">
      <c r="A4" s="2" t="s">
        <v>5</v>
      </c>
      <c r="B4" s="1">
        <f>'Data Sheet'!B17</f>
        <v>21595.439999999999</v>
      </c>
      <c r="C4" s="1">
        <f>'Data Sheet'!C17</f>
        <v>22573.69</v>
      </c>
      <c r="D4" s="1">
        <f>'Data Sheet'!D17</f>
        <v>21754.720000000001</v>
      </c>
      <c r="E4" s="1">
        <f>'Data Sheet'!E17</f>
        <v>25209.93</v>
      </c>
      <c r="F4" s="1">
        <f>'Data Sheet'!F17</f>
        <v>30357.63</v>
      </c>
      <c r="G4" s="1">
        <f>'Data Sheet'!G17</f>
        <v>29918.65</v>
      </c>
      <c r="H4" s="1">
        <f>'Data Sheet'!H17</f>
        <v>27741.08</v>
      </c>
      <c r="I4" s="1">
        <f>'Data Sheet'!I17</f>
        <v>33144.71</v>
      </c>
      <c r="J4" s="1">
        <f>'Data Sheet'!J17</f>
        <v>36455.379999999997</v>
      </c>
      <c r="K4" s="1">
        <f>'Data Sheet'!K17</f>
        <v>44870.43</v>
      </c>
      <c r="L4" s="1">
        <f>SUM(Quarters!H4:K4)</f>
        <v>49903.18</v>
      </c>
      <c r="M4" s="1">
        <f>$K4+M23*K4</f>
        <v>55227.938602886599</v>
      </c>
      <c r="N4" s="1">
        <f>$K4+N23*L4</f>
        <v>48926.598179599685</v>
      </c>
    </row>
    <row r="5" spans="1:14" x14ac:dyDescent="0.3">
      <c r="A5" t="s">
        <v>6</v>
      </c>
      <c r="B5" s="6">
        <f>SUM('Data Sheet'!B18,'Data Sheet'!B20:B24, -1*'Data Sheet'!B19)</f>
        <v>17467.040000000005</v>
      </c>
      <c r="C5" s="6">
        <f>SUM('Data Sheet'!C18,'Data Sheet'!C20:C24, -1*'Data Sheet'!C19)</f>
        <v>17780.740000000002</v>
      </c>
      <c r="D5" s="6">
        <f>SUM('Data Sheet'!D18,'Data Sheet'!D20:D24, -1*'Data Sheet'!D19)</f>
        <v>17326.09</v>
      </c>
      <c r="E5" s="6">
        <f>SUM('Data Sheet'!E18,'Data Sheet'!E20:E24, -1*'Data Sheet'!E19)</f>
        <v>20364.129999999997</v>
      </c>
      <c r="F5" s="6">
        <f>SUM('Data Sheet'!F18,'Data Sheet'!F20:F24, -1*'Data Sheet'!F19)</f>
        <v>25159.71</v>
      </c>
      <c r="G5" s="6">
        <f>SUM('Data Sheet'!G18,'Data Sheet'!G20:G24, -1*'Data Sheet'!G19)</f>
        <v>24809.310000000005</v>
      </c>
      <c r="H5" s="6">
        <f>SUM('Data Sheet'!H18,'Data Sheet'!H20:H24, -1*'Data Sheet'!H19)</f>
        <v>22803.300000000003</v>
      </c>
      <c r="I5" s="6">
        <f>SUM('Data Sheet'!I18,'Data Sheet'!I20:I24, -1*'Data Sheet'!I19)</f>
        <v>27885.91</v>
      </c>
      <c r="J5" s="6">
        <f>SUM('Data Sheet'!J18,'Data Sheet'!J20:J24, -1*'Data Sheet'!J19)</f>
        <v>29990.739999999998</v>
      </c>
      <c r="K5" s="6">
        <f>SUM('Data Sheet'!K18,'Data Sheet'!K20:K24, -1*'Data Sheet'!K19)</f>
        <v>36105.75</v>
      </c>
      <c r="L5" s="6">
        <f>SUM(Quarters!H5:K5)</f>
        <v>40424.42</v>
      </c>
      <c r="M5" s="6">
        <f t="shared" ref="M5:N5" si="0">M4-M6</f>
        <v>44737.777949567564</v>
      </c>
      <c r="N5" s="6">
        <f t="shared" si="0"/>
        <v>40247.209067008269</v>
      </c>
    </row>
    <row r="6" spans="1:14" s="2" customFormat="1" x14ac:dyDescent="0.3">
      <c r="A6" s="2" t="s">
        <v>7</v>
      </c>
      <c r="B6" s="1">
        <f>B4-B5</f>
        <v>4128.3999999999942</v>
      </c>
      <c r="C6" s="1">
        <f t="shared" ref="C6:K6" si="1">C4-C5</f>
        <v>4792.9499999999971</v>
      </c>
      <c r="D6" s="1">
        <f t="shared" si="1"/>
        <v>4428.630000000001</v>
      </c>
      <c r="E6" s="1">
        <f t="shared" si="1"/>
        <v>4845.8000000000029</v>
      </c>
      <c r="F6" s="1">
        <f t="shared" si="1"/>
        <v>5197.9200000000019</v>
      </c>
      <c r="G6" s="1">
        <f t="shared" si="1"/>
        <v>5109.3399999999965</v>
      </c>
      <c r="H6" s="1">
        <f t="shared" si="1"/>
        <v>4937.7799999999988</v>
      </c>
      <c r="I6" s="1">
        <f t="shared" si="1"/>
        <v>5258.7999999999993</v>
      </c>
      <c r="J6" s="1">
        <f t="shared" si="1"/>
        <v>6464.6399999999994</v>
      </c>
      <c r="K6" s="1">
        <f t="shared" si="1"/>
        <v>8764.68</v>
      </c>
      <c r="L6" s="1">
        <f>SUM(Quarters!H6:K6)</f>
        <v>9478.76</v>
      </c>
      <c r="M6" s="1">
        <f>M4*M24</f>
        <v>10490.160653319035</v>
      </c>
      <c r="N6" s="1">
        <f>N4*N24</f>
        <v>8679.3891125914197</v>
      </c>
    </row>
    <row r="7" spans="1:14" x14ac:dyDescent="0.3">
      <c r="A7" t="s">
        <v>8</v>
      </c>
      <c r="B7" s="6">
        <f>'Data Sheet'!B25</f>
        <v>228.5</v>
      </c>
      <c r="C7" s="6">
        <f>'Data Sheet'!C25</f>
        <v>1194.1500000000001</v>
      </c>
      <c r="D7" s="6">
        <f>'Data Sheet'!D25</f>
        <v>1467.61</v>
      </c>
      <c r="E7" s="6">
        <f>'Data Sheet'!E25</f>
        <v>1403.72</v>
      </c>
      <c r="F7" s="6">
        <f>'Data Sheet'!F25</f>
        <v>2027.83</v>
      </c>
      <c r="G7" s="6">
        <f>'Data Sheet'!G25</f>
        <v>1832.38</v>
      </c>
      <c r="H7" s="6">
        <f>'Data Sheet'!H25</f>
        <v>1569.68</v>
      </c>
      <c r="I7" s="6">
        <f>'Data Sheet'!I25</f>
        <v>2671.3</v>
      </c>
      <c r="J7" s="6">
        <f>'Data Sheet'!J25</f>
        <v>1702.7</v>
      </c>
      <c r="K7" s="6">
        <f>'Data Sheet'!K25</f>
        <v>1700.49</v>
      </c>
      <c r="L7" s="6">
        <f>SUM(Quarters!H7:K7)</f>
        <v>1526.11</v>
      </c>
      <c r="M7" s="6">
        <v>0</v>
      </c>
      <c r="N7" s="6">
        <v>0</v>
      </c>
    </row>
    <row r="8" spans="1:14" x14ac:dyDescent="0.3">
      <c r="A8" t="s">
        <v>9</v>
      </c>
      <c r="B8" s="6">
        <f>'Data Sheet'!B26</f>
        <v>267.45999999999998</v>
      </c>
      <c r="C8" s="6">
        <f>'Data Sheet'!C26</f>
        <v>307.16000000000003</v>
      </c>
      <c r="D8" s="6">
        <f>'Data Sheet'!D26</f>
        <v>307.29000000000002</v>
      </c>
      <c r="E8" s="6">
        <f>'Data Sheet'!E26</f>
        <v>314.8</v>
      </c>
      <c r="F8" s="6">
        <f>'Data Sheet'!F26</f>
        <v>265.69</v>
      </c>
      <c r="G8" s="6">
        <f>'Data Sheet'!G26</f>
        <v>246.43</v>
      </c>
      <c r="H8" s="6">
        <f>'Data Sheet'!H26</f>
        <v>259.37</v>
      </c>
      <c r="I8" s="6">
        <f>'Data Sheet'!I26</f>
        <v>269.76</v>
      </c>
      <c r="J8" s="6">
        <f>'Data Sheet'!J26</f>
        <v>285.85000000000002</v>
      </c>
      <c r="K8" s="6">
        <f>'Data Sheet'!K26</f>
        <v>364.77</v>
      </c>
      <c r="L8" s="6">
        <f>SUM(Quarters!H8:K8)</f>
        <v>387.80999999999995</v>
      </c>
      <c r="M8" s="6">
        <f>+$L8</f>
        <v>387.80999999999995</v>
      </c>
      <c r="N8" s="6">
        <f>+$L8</f>
        <v>387.80999999999995</v>
      </c>
    </row>
    <row r="9" spans="1:14" x14ac:dyDescent="0.3">
      <c r="A9" t="s">
        <v>10</v>
      </c>
      <c r="B9" s="6">
        <f>'Data Sheet'!B27</f>
        <v>6.49</v>
      </c>
      <c r="C9" s="6">
        <f>'Data Sheet'!C27</f>
        <v>1.05</v>
      </c>
      <c r="D9" s="6">
        <f>'Data Sheet'!D27</f>
        <v>1.4</v>
      </c>
      <c r="E9" s="6">
        <f>'Data Sheet'!E27</f>
        <v>1.31</v>
      </c>
      <c r="F9" s="6">
        <f>'Data Sheet'!F27</f>
        <v>4.4800000000000004</v>
      </c>
      <c r="G9" s="6">
        <f>'Data Sheet'!G27</f>
        <v>3.16</v>
      </c>
      <c r="H9" s="6">
        <f>'Data Sheet'!H27</f>
        <v>6.66</v>
      </c>
      <c r="I9" s="6">
        <f>'Data Sheet'!I27</f>
        <v>8.66</v>
      </c>
      <c r="J9" s="6">
        <f>'Data Sheet'!J27</f>
        <v>39.51</v>
      </c>
      <c r="K9" s="6">
        <f>'Data Sheet'!K27</f>
        <v>60.36</v>
      </c>
      <c r="L9" s="6">
        <f>SUM(Quarters!H9:K9)</f>
        <v>272.01</v>
      </c>
      <c r="M9" s="6">
        <f>+$L9</f>
        <v>272.01</v>
      </c>
      <c r="N9" s="6">
        <f>+$L9</f>
        <v>272.01</v>
      </c>
    </row>
    <row r="10" spans="1:14" x14ac:dyDescent="0.3">
      <c r="A10" t="s">
        <v>11</v>
      </c>
      <c r="B10" s="6">
        <f>'Data Sheet'!B28</f>
        <v>4082.95</v>
      </c>
      <c r="C10" s="6">
        <f>'Data Sheet'!C28</f>
        <v>5678.89</v>
      </c>
      <c r="D10" s="6">
        <f>'Data Sheet'!D28</f>
        <v>5587.55</v>
      </c>
      <c r="E10" s="6">
        <f>'Data Sheet'!E28</f>
        <v>5933.41</v>
      </c>
      <c r="F10" s="6">
        <f>'Data Sheet'!F28</f>
        <v>6955.58</v>
      </c>
      <c r="G10" s="6">
        <f>'Data Sheet'!G28</f>
        <v>6692.13</v>
      </c>
      <c r="H10" s="6">
        <f>'Data Sheet'!H28</f>
        <v>6241.43</v>
      </c>
      <c r="I10" s="6">
        <f>'Data Sheet'!I28</f>
        <v>7651.68</v>
      </c>
      <c r="J10" s="6">
        <f>'Data Sheet'!J28</f>
        <v>7841.98</v>
      </c>
      <c r="K10" s="6">
        <f>'Data Sheet'!K28</f>
        <v>10040.040000000001</v>
      </c>
      <c r="L10" s="6">
        <f>SUM(Quarters!H10:K10)</f>
        <v>10345.050000000001</v>
      </c>
      <c r="M10" s="6">
        <f>M6+M7-SUM(M8:M9)</f>
        <v>9830.3406533190355</v>
      </c>
      <c r="N10" s="6">
        <f>N6+N7-SUM(N8:N9)</f>
        <v>8019.56911259142</v>
      </c>
    </row>
    <row r="11" spans="1:14" x14ac:dyDescent="0.3">
      <c r="A11" t="s">
        <v>12</v>
      </c>
      <c r="B11" s="6">
        <f>'Data Sheet'!B29</f>
        <v>1271.05</v>
      </c>
      <c r="C11" s="6">
        <f>'Data Sheet'!C29</f>
        <v>1617.65</v>
      </c>
      <c r="D11" s="6">
        <f>'Data Sheet'!D29</f>
        <v>1508.07</v>
      </c>
      <c r="E11" s="6">
        <f>'Data Sheet'!E29</f>
        <v>1714.47</v>
      </c>
      <c r="F11" s="6">
        <f>'Data Sheet'!F29</f>
        <v>2027.98</v>
      </c>
      <c r="G11" s="6">
        <f>'Data Sheet'!G29</f>
        <v>1480.22</v>
      </c>
      <c r="H11" s="6">
        <f>'Data Sheet'!H29</f>
        <v>1384.41</v>
      </c>
      <c r="I11" s="6">
        <f>'Data Sheet'!I29</f>
        <v>1485.81</v>
      </c>
      <c r="J11" s="6">
        <f>'Data Sheet'!J29</f>
        <v>1781.77</v>
      </c>
      <c r="K11" s="6">
        <f>'Data Sheet'!K29</f>
        <v>2331.8000000000002</v>
      </c>
      <c r="L11" s="6">
        <f>SUM(Quarters!H11:K11)</f>
        <v>2810.74</v>
      </c>
      <c r="M11" s="7">
        <f>IF($L10&gt;0,$L11/$L10,0)</f>
        <v>0.27169902513762617</v>
      </c>
      <c r="N11" s="7">
        <f>IF($L10&gt;0,$L11/$L10,0)</f>
        <v>0.27169902513762617</v>
      </c>
    </row>
    <row r="12" spans="1:14" s="2" customFormat="1" x14ac:dyDescent="0.3">
      <c r="A12" s="2" t="s">
        <v>13</v>
      </c>
      <c r="B12" s="1">
        <f>'Data Sheet'!B30</f>
        <v>3025.63</v>
      </c>
      <c r="C12" s="1">
        <f>'Data Sheet'!C30</f>
        <v>4061.24</v>
      </c>
      <c r="D12" s="1">
        <f>'Data Sheet'!D30</f>
        <v>4079.49</v>
      </c>
      <c r="E12" s="1">
        <f>'Data Sheet'!E30</f>
        <v>4218.95</v>
      </c>
      <c r="F12" s="1">
        <f>'Data Sheet'!F30</f>
        <v>4927.6099999999997</v>
      </c>
      <c r="G12" s="1">
        <f>'Data Sheet'!G30</f>
        <v>5211.91</v>
      </c>
      <c r="H12" s="1">
        <f>'Data Sheet'!H30</f>
        <v>4857.0200000000004</v>
      </c>
      <c r="I12" s="1">
        <f>'Data Sheet'!I30</f>
        <v>6165.87</v>
      </c>
      <c r="J12" s="1">
        <f>'Data Sheet'!J30</f>
        <v>6060.21</v>
      </c>
      <c r="K12" s="1">
        <f>'Data Sheet'!K30</f>
        <v>7708.24</v>
      </c>
      <c r="L12" s="1">
        <f>SUM(Quarters!H12:K12)</f>
        <v>7534.3099999999995</v>
      </c>
      <c r="M12" s="1">
        <f>M10-M11*M10</f>
        <v>7159.4466810414779</v>
      </c>
      <c r="N12" s="1">
        <f>N10-N11*N10</f>
        <v>5840.6600026765136</v>
      </c>
    </row>
    <row r="13" spans="1:14" x14ac:dyDescent="0.3">
      <c r="A13" t="s">
        <v>46</v>
      </c>
      <c r="B13" s="6">
        <f>IF('Data Sheet'!B93&gt;0,B12/'Data Sheet'!B93,0)</f>
        <v>104.54837595024188</v>
      </c>
      <c r="C13" s="6">
        <f>IF('Data Sheet'!C93&gt;0,C12/'Data Sheet'!C93,0)</f>
        <v>140.33310297166551</v>
      </c>
      <c r="D13" s="6">
        <f>IF('Data Sheet'!D93&gt;0,D12/'Data Sheet'!D93,0)</f>
        <v>140.96371803731859</v>
      </c>
      <c r="E13" s="6">
        <f>IF('Data Sheet'!E93&gt;0,E12/'Data Sheet'!E93,0)</f>
        <v>145.78265376641326</v>
      </c>
      <c r="F13" s="6">
        <f>IF('Data Sheet'!F93&gt;0,F12/'Data Sheet'!F93,0)</f>
        <v>170.26986869384933</v>
      </c>
      <c r="G13" s="6">
        <f>IF('Data Sheet'!G93&gt;0,G12/'Data Sheet'!G93,0)</f>
        <v>180.09364201796819</v>
      </c>
      <c r="H13" s="6">
        <f>IF('Data Sheet'!H93&gt;0,H12/'Data Sheet'!H93,0)</f>
        <v>167.83068417415342</v>
      </c>
      <c r="I13" s="6">
        <f>IF('Data Sheet'!I93&gt;0,I12/'Data Sheet'!I93,0)</f>
        <v>213.05701451278506</v>
      </c>
      <c r="J13" s="6">
        <f>IF('Data Sheet'!J93&gt;0,J12/'Data Sheet'!J93,0)</f>
        <v>214.1416961130742</v>
      </c>
      <c r="K13" s="6">
        <f>IF('Data Sheet'!K93&gt;0,K12/'Data Sheet'!K93,0)</f>
        <v>276.08309455587391</v>
      </c>
      <c r="L13" s="6">
        <f>IF('Data Sheet'!$B6&gt;0,'Profit &amp; Loss'!L12/'Data Sheet'!$B6,0)</f>
        <v>269.78943406854552</v>
      </c>
      <c r="M13" s="6">
        <f>IF('Data Sheet'!$B6&gt;0,'Profit &amp; Loss'!M12/'Data Sheet'!$B6,0)</f>
        <v>256.36628547565829</v>
      </c>
      <c r="N13" s="6">
        <f>IF('Data Sheet'!$B6&gt;0,'Profit &amp; Loss'!N12/'Data Sheet'!$B6,0)</f>
        <v>209.14302128647299</v>
      </c>
    </row>
    <row r="14" spans="1:14" x14ac:dyDescent="0.3">
      <c r="A14" t="s">
        <v>15</v>
      </c>
      <c r="B14" s="6">
        <f>IF(B15&gt;0,B15/B13,"")</f>
        <v>19.288678390946679</v>
      </c>
      <c r="C14" s="6">
        <f t="shared" ref="C14:K14" si="2">IF(C15&gt;0,C15/C13,"")</f>
        <v>17.144564960455426</v>
      </c>
      <c r="D14" s="6">
        <f t="shared" si="2"/>
        <v>19.901929652971326</v>
      </c>
      <c r="E14" s="6">
        <f t="shared" si="2"/>
        <v>18.827342822266203</v>
      </c>
      <c r="F14" s="6">
        <f t="shared" si="2"/>
        <v>17.096976830552745</v>
      </c>
      <c r="G14" s="6">
        <f t="shared" si="2"/>
        <v>11.229435849813218</v>
      </c>
      <c r="H14" s="6">
        <f t="shared" si="2"/>
        <v>21.870851674483532</v>
      </c>
      <c r="I14" s="6">
        <f t="shared" si="2"/>
        <v>17.145645302285001</v>
      </c>
      <c r="J14" s="6">
        <f t="shared" si="2"/>
        <v>18.141025641025642</v>
      </c>
      <c r="K14" s="6">
        <f t="shared" si="2"/>
        <v>33.135495002750304</v>
      </c>
      <c r="L14" s="6">
        <f t="shared" ref="L14" si="3">IF(L13&gt;0,L15/L13,0)</f>
        <v>30.570137145936389</v>
      </c>
      <c r="M14" s="6">
        <f>M25</f>
        <v>30.570137145936389</v>
      </c>
      <c r="N14" s="6">
        <f>N25</f>
        <v>20.395643933953316</v>
      </c>
    </row>
    <row r="15" spans="1:14" s="2" customFormat="1" x14ac:dyDescent="0.3">
      <c r="A15" s="2" t="s">
        <v>47</v>
      </c>
      <c r="B15" s="1">
        <f>'Data Sheet'!B90</f>
        <v>2016.6</v>
      </c>
      <c r="C15" s="1">
        <f>'Data Sheet'!C90</f>
        <v>2405.9499999999998</v>
      </c>
      <c r="D15" s="1">
        <f>'Data Sheet'!D90</f>
        <v>2805.45</v>
      </c>
      <c r="E15" s="1">
        <f>'Data Sheet'!E90</f>
        <v>2744.7</v>
      </c>
      <c r="F15" s="1">
        <f>'Data Sheet'!F90</f>
        <v>2911.1</v>
      </c>
      <c r="G15" s="1">
        <f>'Data Sheet'!G90</f>
        <v>2022.35</v>
      </c>
      <c r="H15" s="1">
        <f>'Data Sheet'!H90</f>
        <v>3670.6</v>
      </c>
      <c r="I15" s="1">
        <f>'Data Sheet'!I90</f>
        <v>3653</v>
      </c>
      <c r="J15" s="1">
        <f>'Data Sheet'!J90</f>
        <v>3884.75</v>
      </c>
      <c r="K15" s="1">
        <f>'Data Sheet'!K90</f>
        <v>9148.15</v>
      </c>
      <c r="L15" s="1">
        <f>'Data Sheet'!B8</f>
        <v>8247.5</v>
      </c>
      <c r="M15" s="8">
        <f>M13*M14</f>
        <v>7837.1525065851538</v>
      </c>
      <c r="N15" s="9">
        <f>N13*N14</f>
        <v>4265.6065934301223</v>
      </c>
    </row>
    <row r="17" spans="1:14" s="2" customFormat="1" x14ac:dyDescent="0.3">
      <c r="A17" s="2" t="s">
        <v>14</v>
      </c>
    </row>
    <row r="18" spans="1:14" x14ac:dyDescent="0.3">
      <c r="A18" t="s">
        <v>16</v>
      </c>
      <c r="B18" s="5">
        <f>IF('Data Sheet'!B30&gt;0, 'Data Sheet'!B31/'Data Sheet'!B30, 0)</f>
        <v>0.4781979290263515</v>
      </c>
      <c r="C18" s="5">
        <f>IF('Data Sheet'!C30&gt;0, 'Data Sheet'!C31/'Data Sheet'!C30, 0)</f>
        <v>0.39188523702120537</v>
      </c>
      <c r="D18" s="5">
        <f>IF('Data Sheet'!D30&gt;0, 'Data Sheet'!D31/'Data Sheet'!D30, 0)</f>
        <v>0.3901320998458141</v>
      </c>
      <c r="E18" s="5">
        <f>IF('Data Sheet'!E30&gt;0, 'Data Sheet'!E31/'Data Sheet'!E30, 0)</f>
        <v>0.41152893492456655</v>
      </c>
      <c r="F18" s="5">
        <f>IF('Data Sheet'!F30&gt;0, 'Data Sheet'!F31/'Data Sheet'!F30, 0)</f>
        <v>0.35234525459604149</v>
      </c>
      <c r="G18" s="5">
        <f>IF('Data Sheet'!G30&gt;0, 'Data Sheet'!G31/'Data Sheet'!G30, 0)</f>
        <v>0.66625095214614227</v>
      </c>
      <c r="H18" s="5">
        <f>IF('Data Sheet'!H30&gt;0, 'Data Sheet'!H31/'Data Sheet'!H30, 0)</f>
        <v>0.83408756809731055</v>
      </c>
      <c r="I18" s="5">
        <f>IF('Data Sheet'!I30&gt;0, 'Data Sheet'!I31/'Data Sheet'!I30, 0)</f>
        <v>0.65703298966731372</v>
      </c>
      <c r="J18" s="5">
        <f>IF('Data Sheet'!J30&gt;0, 'Data Sheet'!J31/'Data Sheet'!J30, 0)</f>
        <v>0.6536803180087819</v>
      </c>
      <c r="K18" s="5">
        <f>IF('Data Sheet'!K30&gt;0, 'Data Sheet'!K31/'Data Sheet'!K30, 0)</f>
        <v>0.28974707585648607</v>
      </c>
    </row>
    <row r="19" spans="1:14" x14ac:dyDescent="0.3">
      <c r="A19" t="s">
        <v>17</v>
      </c>
      <c r="B19" s="5">
        <f t="shared" ref="B19:L19" si="4">IF(B6&gt;0,B6/B4,0)</f>
        <v>0.19116998773815186</v>
      </c>
      <c r="C19" s="5">
        <f t="shared" ref="C19:K19" si="5">IF(C6&gt;0,C6/C4,0)</f>
        <v>0.21232461329981928</v>
      </c>
      <c r="D19" s="5">
        <f t="shared" si="5"/>
        <v>0.20357099516794519</v>
      </c>
      <c r="E19" s="5">
        <f t="shared" si="5"/>
        <v>0.19221790778475001</v>
      </c>
      <c r="F19" s="5">
        <f t="shared" si="5"/>
        <v>0.17122285237681603</v>
      </c>
      <c r="G19" s="5">
        <f t="shared" si="5"/>
        <v>0.17077441662641851</v>
      </c>
      <c r="H19" s="5">
        <f t="shared" si="5"/>
        <v>0.17799523306230322</v>
      </c>
      <c r="I19" s="5">
        <f t="shared" si="5"/>
        <v>0.15866181963879</v>
      </c>
      <c r="J19" s="5">
        <f t="shared" si="5"/>
        <v>0.17733020475990099</v>
      </c>
      <c r="K19" s="5">
        <f t="shared" si="5"/>
        <v>0.19533309576039276</v>
      </c>
      <c r="L19" s="5">
        <f t="shared" si="4"/>
        <v>0.18994300563611377</v>
      </c>
    </row>
    <row r="20" spans="1:14" x14ac:dyDescent="0.3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4" x14ac:dyDescent="0.3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4" s="2" customFormat="1" x14ac:dyDescent="0.3">
      <c r="A22" s="11"/>
      <c r="B22" s="12"/>
      <c r="C22" s="12"/>
      <c r="D22" s="12"/>
      <c r="E22" s="12"/>
      <c r="F22" s="12"/>
      <c r="G22" s="12" t="s">
        <v>18</v>
      </c>
      <c r="H22" s="12" t="s">
        <v>51</v>
      </c>
      <c r="I22" s="12" t="s">
        <v>52</v>
      </c>
      <c r="J22" s="12" t="s">
        <v>53</v>
      </c>
      <c r="K22" s="12" t="s">
        <v>54</v>
      </c>
      <c r="L22" s="13" t="s">
        <v>55</v>
      </c>
      <c r="M22" s="13" t="s">
        <v>19</v>
      </c>
      <c r="N22" s="13" t="s">
        <v>20</v>
      </c>
    </row>
    <row r="23" spans="1:14" s="2" customFormat="1" x14ac:dyDescent="0.3">
      <c r="A23"/>
      <c r="B23"/>
      <c r="C23"/>
      <c r="D23"/>
      <c r="E23"/>
      <c r="F23"/>
      <c r="G23" t="s">
        <v>21</v>
      </c>
      <c r="H23" s="5">
        <f>IF(B4=0,"",POWER($K4/B4,1/9)-1)</f>
        <v>8.464766597166884E-2</v>
      </c>
      <c r="I23" s="5">
        <f>IF(D4=0,"",POWER($K4/D4,1/7)-1)</f>
        <v>0.10895838145573555</v>
      </c>
      <c r="J23" s="5">
        <f>IF(F4=0,"",POWER($K4/F4,1/5)-1)</f>
        <v>8.128075564722903E-2</v>
      </c>
      <c r="K23" s="5">
        <f>IF(H4=0,"",POWER($K4/H4, 1/3)-1)</f>
        <v>0.17384914751783653</v>
      </c>
      <c r="L23" s="5">
        <f>IF(ISERROR(MAX(IF(J4=0,"",(K4-J4)/J4),IF(K4=0,"",(L4-K4)/K4))),"",MAX(IF(J4=0,"",(K4-J4)/J4),IF(K4=0,"",(L4-K4)/K4)))</f>
        <v>0.23083149867042954</v>
      </c>
      <c r="M23" s="16">
        <f>MAX(K23:L23)</f>
        <v>0.23083149867042954</v>
      </c>
      <c r="N23" s="16">
        <f>MIN(H23:L23)</f>
        <v>8.128075564722903E-2</v>
      </c>
    </row>
    <row r="24" spans="1:14" x14ac:dyDescent="0.3">
      <c r="G24" t="s">
        <v>17</v>
      </c>
      <c r="H24" s="5">
        <f>IF(SUM(B4:$K$4)=0,"",SUMPRODUCT(B19:$K$19,B4:$K$4)/SUM(B4:$K$4))</f>
        <v>0.18366812584602918</v>
      </c>
      <c r="I24" s="5">
        <f>IF(SUM(E4:$K$4)=0,"",SUMPRODUCT(E19:$K$19,E4:$K$4)/SUM(E4:$K$4))</f>
        <v>0.1782140987653768</v>
      </c>
      <c r="J24" s="5">
        <f>IF(SUM(G4:$K$4)=0,"",SUMPRODUCT(G19:$K$19,G4:$K$4)/SUM(G4:$K$4))</f>
        <v>0.17739612880362396</v>
      </c>
      <c r="K24" s="5">
        <f>IF(SUM(I4:$K$4)=0, "", SUMPRODUCT(I19:$K$19,I4:$K$4)/SUM(I4:$K$4))</f>
        <v>0.17898162775883258</v>
      </c>
      <c r="L24" s="5">
        <f>L19</f>
        <v>0.18994300563611377</v>
      </c>
      <c r="M24" s="16">
        <f>MAX(K24:L24)</f>
        <v>0.18994300563611377</v>
      </c>
      <c r="N24" s="16">
        <f>MIN(H24:L24)</f>
        <v>0.17739612880362396</v>
      </c>
    </row>
    <row r="25" spans="1:14" x14ac:dyDescent="0.3">
      <c r="G25" t="s">
        <v>22</v>
      </c>
      <c r="H25" s="6">
        <f>IF(ISERROR(AVERAGEIF(B14:$L14,"&gt;0")),"",AVERAGEIF(B14:$L14,"&gt;0"))</f>
        <v>20.395643933953316</v>
      </c>
      <c r="I25" s="6">
        <f>IF(ISERROR(AVERAGEIF(E14:$L14,"&gt;0")),"",AVERAGEIF(E14:$L14,"&gt;0"))</f>
        <v>21.002113783639132</v>
      </c>
      <c r="J25" s="6">
        <f>IF(ISERROR(AVERAGEIF(G14:$L14,"&gt;0")),"",AVERAGEIF(G14:$L14,"&gt;0"))</f>
        <v>22.015431769382349</v>
      </c>
      <c r="K25" s="6">
        <f>IF(ISERROR(AVERAGEIF(I14:$L14,"&gt;0")),"",AVERAGEIF(I14:$L14,"&gt;0"))</f>
        <v>24.748075772999332</v>
      </c>
      <c r="L25" s="6">
        <f>L14</f>
        <v>30.570137145936389</v>
      </c>
      <c r="M25" s="1">
        <f>MAX(K25:L25)</f>
        <v>30.570137145936389</v>
      </c>
      <c r="N25" s="1">
        <f>MIN(H25:L25)</f>
        <v>20.395643933953316</v>
      </c>
    </row>
  </sheetData>
  <printOptions gridLines="1"/>
  <pageMargins left="0.7" right="0.7" top="0.75" bottom="0.75" header="0.3" footer="0.3"/>
  <pageSetup paperSize="9" orientation="landscape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J1" sqref="J1"/>
    </sheetView>
  </sheetViews>
  <sheetFormatPr defaultColWidth="8.77734375" defaultRowHeight="14.4" x14ac:dyDescent="0.3"/>
  <cols>
    <col min="1" max="1" width="20.6640625" customWidth="1"/>
    <col min="2" max="11" width="13.44140625" bestFit="1" customWidth="1"/>
  </cols>
  <sheetData>
    <row r="1" spans="1:11" s="2" customFormat="1" x14ac:dyDescent="0.3">
      <c r="A1" s="2" t="str">
        <f>'Profit &amp; Loss'!A1</f>
        <v>BAJAJ AUTO LTD</v>
      </c>
      <c r="E1" t="str">
        <f>UPDATE</f>
        <v/>
      </c>
    </row>
    <row r="3" spans="1:11" s="2" customFormat="1" x14ac:dyDescent="0.3">
      <c r="A3" s="11" t="s">
        <v>1</v>
      </c>
      <c r="B3" s="12">
        <f>'Data Sheet'!B41</f>
        <v>44834</v>
      </c>
      <c r="C3" s="12">
        <f>'Data Sheet'!C41</f>
        <v>44926</v>
      </c>
      <c r="D3" s="12">
        <f>'Data Sheet'!D41</f>
        <v>45016</v>
      </c>
      <c r="E3" s="12">
        <f>'Data Sheet'!E41</f>
        <v>45107</v>
      </c>
      <c r="F3" s="12">
        <f>'Data Sheet'!F41</f>
        <v>45199</v>
      </c>
      <c r="G3" s="12">
        <f>'Data Sheet'!G41</f>
        <v>45291</v>
      </c>
      <c r="H3" s="12">
        <f>'Data Sheet'!H41</f>
        <v>45382</v>
      </c>
      <c r="I3" s="12">
        <f>'Data Sheet'!I41</f>
        <v>45473</v>
      </c>
      <c r="J3" s="12">
        <f>'Data Sheet'!J41</f>
        <v>45565</v>
      </c>
      <c r="K3" s="12">
        <f>'Data Sheet'!K41</f>
        <v>45657</v>
      </c>
    </row>
    <row r="4" spans="1:11" s="2" customFormat="1" x14ac:dyDescent="0.3">
      <c r="A4" s="2" t="s">
        <v>5</v>
      </c>
      <c r="B4" s="1">
        <f>'Data Sheet'!B42</f>
        <v>10202.709999999999</v>
      </c>
      <c r="C4" s="1">
        <f>'Data Sheet'!C42</f>
        <v>9318.5400000000009</v>
      </c>
      <c r="D4" s="1">
        <f>'Data Sheet'!D42</f>
        <v>8929.23</v>
      </c>
      <c r="E4" s="1">
        <f>'Data Sheet'!E42</f>
        <v>10311.91</v>
      </c>
      <c r="F4" s="1">
        <f>'Data Sheet'!F42</f>
        <v>10838.24</v>
      </c>
      <c r="G4" s="1">
        <f>'Data Sheet'!G42</f>
        <v>12165.33</v>
      </c>
      <c r="H4" s="1">
        <f>'Data Sheet'!H42</f>
        <v>11554.95</v>
      </c>
      <c r="I4" s="1">
        <f>'Data Sheet'!I42</f>
        <v>11932.07</v>
      </c>
      <c r="J4" s="1">
        <f>'Data Sheet'!J42</f>
        <v>13247.28</v>
      </c>
      <c r="K4" s="1">
        <f>'Data Sheet'!K42</f>
        <v>13168.88</v>
      </c>
    </row>
    <row r="5" spans="1:11" x14ac:dyDescent="0.3">
      <c r="A5" t="s">
        <v>6</v>
      </c>
      <c r="B5" s="6">
        <f>'Data Sheet'!B43</f>
        <v>8453.07</v>
      </c>
      <c r="C5" s="6">
        <f>'Data Sheet'!C43</f>
        <v>7561.25</v>
      </c>
      <c r="D5" s="6">
        <f>'Data Sheet'!D43</f>
        <v>7272.02</v>
      </c>
      <c r="E5" s="6">
        <f>'Data Sheet'!E43</f>
        <v>8379.64</v>
      </c>
      <c r="F5" s="6">
        <f>'Data Sheet'!F43</f>
        <v>8708.11</v>
      </c>
      <c r="G5" s="6">
        <f>'Data Sheet'!G43</f>
        <v>9750.43</v>
      </c>
      <c r="H5" s="6">
        <f>'Data Sheet'!H43</f>
        <v>9270.69</v>
      </c>
      <c r="I5" s="6">
        <f>'Data Sheet'!I43</f>
        <v>9561.6299999999992</v>
      </c>
      <c r="J5" s="6">
        <f>'Data Sheet'!J43</f>
        <v>11174.05</v>
      </c>
      <c r="K5" s="6">
        <f>'Data Sheet'!K43</f>
        <v>10418.049999999999</v>
      </c>
    </row>
    <row r="6" spans="1:11" s="2" customFormat="1" x14ac:dyDescent="0.3">
      <c r="A6" s="2" t="s">
        <v>7</v>
      </c>
      <c r="B6" s="1">
        <f>'Data Sheet'!B50</f>
        <v>1749.64</v>
      </c>
      <c r="C6" s="1">
        <f>'Data Sheet'!C50</f>
        <v>1757.29</v>
      </c>
      <c r="D6" s="1">
        <f>'Data Sheet'!D50</f>
        <v>1657.21</v>
      </c>
      <c r="E6" s="1">
        <f>'Data Sheet'!E50</f>
        <v>1932.27</v>
      </c>
      <c r="F6" s="1">
        <f>'Data Sheet'!F50</f>
        <v>2130.13</v>
      </c>
      <c r="G6" s="1">
        <f>'Data Sheet'!G50</f>
        <v>2414.9</v>
      </c>
      <c r="H6" s="1">
        <f>'Data Sheet'!H50</f>
        <v>2284.2600000000002</v>
      </c>
      <c r="I6" s="1">
        <f>'Data Sheet'!I50</f>
        <v>2370.44</v>
      </c>
      <c r="J6" s="1">
        <f>'Data Sheet'!J50</f>
        <v>2073.23</v>
      </c>
      <c r="K6" s="1">
        <f>'Data Sheet'!K50</f>
        <v>2750.83</v>
      </c>
    </row>
    <row r="7" spans="1:11" x14ac:dyDescent="0.3">
      <c r="A7" t="s">
        <v>8</v>
      </c>
      <c r="B7" s="6">
        <f>'Data Sheet'!B44</f>
        <v>531.98</v>
      </c>
      <c r="C7" s="6">
        <f>'Data Sheet'!C44</f>
        <v>270.52999999999997</v>
      </c>
      <c r="D7" s="6">
        <f>'Data Sheet'!D44</f>
        <v>594.66</v>
      </c>
      <c r="E7" s="6">
        <f>'Data Sheet'!E44</f>
        <v>351.1</v>
      </c>
      <c r="F7" s="6">
        <f>'Data Sheet'!F44</f>
        <v>552.25</v>
      </c>
      <c r="G7" s="6">
        <f>'Data Sheet'!G44</f>
        <v>356.33</v>
      </c>
      <c r="H7" s="6">
        <f>'Data Sheet'!H44</f>
        <v>443.93</v>
      </c>
      <c r="I7" s="6">
        <f>'Data Sheet'!I44</f>
        <v>335.32</v>
      </c>
      <c r="J7" s="6">
        <f>'Data Sheet'!J44</f>
        <v>399.33</v>
      </c>
      <c r="K7" s="6">
        <f>'Data Sheet'!K44</f>
        <v>347.53</v>
      </c>
    </row>
    <row r="8" spans="1:11" x14ac:dyDescent="0.3">
      <c r="A8" t="s">
        <v>9</v>
      </c>
      <c r="B8" s="6">
        <f>'Data Sheet'!B45</f>
        <v>67.48</v>
      </c>
      <c r="C8" s="6">
        <f>'Data Sheet'!C45</f>
        <v>74.819999999999993</v>
      </c>
      <c r="D8" s="6">
        <f>'Data Sheet'!D45</f>
        <v>75.989999999999995</v>
      </c>
      <c r="E8" s="6">
        <f>'Data Sheet'!E45</f>
        <v>87.23</v>
      </c>
      <c r="F8" s="6">
        <f>'Data Sheet'!F45</f>
        <v>91.82</v>
      </c>
      <c r="G8" s="6">
        <f>'Data Sheet'!G45</f>
        <v>92.91</v>
      </c>
      <c r="H8" s="6">
        <f>'Data Sheet'!H45</f>
        <v>92.81</v>
      </c>
      <c r="I8" s="6">
        <f>'Data Sheet'!I45</f>
        <v>95.01</v>
      </c>
      <c r="J8" s="6">
        <f>'Data Sheet'!J45</f>
        <v>98.27</v>
      </c>
      <c r="K8" s="6">
        <f>'Data Sheet'!K45</f>
        <v>101.72</v>
      </c>
    </row>
    <row r="9" spans="1:11" x14ac:dyDescent="0.3">
      <c r="A9" t="s">
        <v>10</v>
      </c>
      <c r="B9" s="6">
        <f>'Data Sheet'!B46</f>
        <v>10.92</v>
      </c>
      <c r="C9" s="6">
        <f>'Data Sheet'!C46</f>
        <v>8.48</v>
      </c>
      <c r="D9" s="6">
        <f>'Data Sheet'!D46</f>
        <v>15.77</v>
      </c>
      <c r="E9" s="6">
        <f>'Data Sheet'!E46</f>
        <v>12.09</v>
      </c>
      <c r="F9" s="6">
        <f>'Data Sheet'!F46</f>
        <v>6.54</v>
      </c>
      <c r="G9" s="6">
        <f>'Data Sheet'!G46</f>
        <v>12.1</v>
      </c>
      <c r="H9" s="6">
        <f>'Data Sheet'!H46</f>
        <v>29.63</v>
      </c>
      <c r="I9" s="6">
        <f>'Data Sheet'!I46</f>
        <v>46.97</v>
      </c>
      <c r="J9" s="6">
        <f>'Data Sheet'!J46</f>
        <v>75.2</v>
      </c>
      <c r="K9" s="6">
        <f>'Data Sheet'!K46</f>
        <v>120.21</v>
      </c>
    </row>
    <row r="10" spans="1:11" x14ac:dyDescent="0.3">
      <c r="A10" t="s">
        <v>11</v>
      </c>
      <c r="B10" s="6">
        <f>'Data Sheet'!B47</f>
        <v>2203.2199999999998</v>
      </c>
      <c r="C10" s="6">
        <f>'Data Sheet'!C47</f>
        <v>1944.52</v>
      </c>
      <c r="D10" s="6">
        <f>'Data Sheet'!D47</f>
        <v>2160.11</v>
      </c>
      <c r="E10" s="6">
        <f>'Data Sheet'!E47</f>
        <v>2184.0500000000002</v>
      </c>
      <c r="F10" s="6">
        <f>'Data Sheet'!F47</f>
        <v>2584.02</v>
      </c>
      <c r="G10" s="6">
        <f>'Data Sheet'!G47</f>
        <v>2666.22</v>
      </c>
      <c r="H10" s="6">
        <f>'Data Sheet'!H47</f>
        <v>2605.75</v>
      </c>
      <c r="I10" s="6">
        <f>'Data Sheet'!I47</f>
        <v>2563.7800000000002</v>
      </c>
      <c r="J10" s="6">
        <f>'Data Sheet'!J47</f>
        <v>2299.09</v>
      </c>
      <c r="K10" s="6">
        <f>'Data Sheet'!K47</f>
        <v>2876.43</v>
      </c>
    </row>
    <row r="11" spans="1:11" x14ac:dyDescent="0.3">
      <c r="A11" t="s">
        <v>12</v>
      </c>
      <c r="B11" s="6">
        <f>'Data Sheet'!B48</f>
        <v>483.78</v>
      </c>
      <c r="C11" s="6">
        <f>'Data Sheet'!C48</f>
        <v>471.82</v>
      </c>
      <c r="D11" s="6">
        <f>'Data Sheet'!D48</f>
        <v>455.37</v>
      </c>
      <c r="E11" s="6">
        <f>'Data Sheet'!E48</f>
        <v>539.91</v>
      </c>
      <c r="F11" s="6">
        <f>'Data Sheet'!F48</f>
        <v>563.97</v>
      </c>
      <c r="G11" s="6">
        <f>'Data Sheet'!G48</f>
        <v>633.6</v>
      </c>
      <c r="H11" s="6">
        <f>'Data Sheet'!H48</f>
        <v>594.32000000000005</v>
      </c>
      <c r="I11" s="6">
        <f>'Data Sheet'!I48</f>
        <v>621.99</v>
      </c>
      <c r="J11" s="6">
        <f>'Data Sheet'!J48</f>
        <v>913.65</v>
      </c>
      <c r="K11" s="6">
        <f>'Data Sheet'!K48</f>
        <v>680.78</v>
      </c>
    </row>
    <row r="12" spans="1:11" s="2" customFormat="1" x14ac:dyDescent="0.3">
      <c r="A12" s="2" t="s">
        <v>13</v>
      </c>
      <c r="B12" s="1">
        <f>'Data Sheet'!B49</f>
        <v>1719.44</v>
      </c>
      <c r="C12" s="1">
        <f>'Data Sheet'!C49</f>
        <v>1472.7</v>
      </c>
      <c r="D12" s="1">
        <f>'Data Sheet'!D49</f>
        <v>1704.74</v>
      </c>
      <c r="E12" s="1">
        <f>'Data Sheet'!E49</f>
        <v>1644.14</v>
      </c>
      <c r="F12" s="1">
        <f>'Data Sheet'!F49</f>
        <v>2020.05</v>
      </c>
      <c r="G12" s="1">
        <f>'Data Sheet'!G49</f>
        <v>2032.62</v>
      </c>
      <c r="H12" s="1">
        <f>'Data Sheet'!H49</f>
        <v>2011.43</v>
      </c>
      <c r="I12" s="1">
        <f>'Data Sheet'!I49</f>
        <v>1941.79</v>
      </c>
      <c r="J12" s="1">
        <f>'Data Sheet'!J49</f>
        <v>1385.44</v>
      </c>
      <c r="K12" s="1">
        <f>'Data Sheet'!K49</f>
        <v>2195.65</v>
      </c>
    </row>
    <row r="14" spans="1:11" s="2" customFormat="1" x14ac:dyDescent="0.3">
      <c r="A14" s="2" t="s">
        <v>17</v>
      </c>
      <c r="B14" s="10">
        <f>IF(B4&gt;0,B6/B4,"")</f>
        <v>0.17148777138622975</v>
      </c>
      <c r="C14" s="10">
        <f t="shared" ref="C14:K14" si="0">IF(C4&gt;0,C6/C4,"")</f>
        <v>0.18857997068210253</v>
      </c>
      <c r="D14" s="10">
        <f t="shared" si="0"/>
        <v>0.18559383059905502</v>
      </c>
      <c r="E14" s="10">
        <f t="shared" si="0"/>
        <v>0.18738235690575267</v>
      </c>
      <c r="F14" s="10">
        <f t="shared" si="0"/>
        <v>0.19653836785308318</v>
      </c>
      <c r="G14" s="10">
        <f t="shared" si="0"/>
        <v>0.19850674005555133</v>
      </c>
      <c r="H14" s="10">
        <f t="shared" si="0"/>
        <v>0.1976867056975582</v>
      </c>
      <c r="I14" s="10">
        <f t="shared" si="0"/>
        <v>0.19866125492056283</v>
      </c>
      <c r="J14" s="10">
        <f t="shared" si="0"/>
        <v>0.15650231594712272</v>
      </c>
      <c r="K14" s="10">
        <f t="shared" si="0"/>
        <v>0.20888868301632335</v>
      </c>
    </row>
    <row r="22" s="19" customFormat="1" x14ac:dyDescent="0.3"/>
  </sheetData>
  <printOptions gridLines="1"/>
  <pageMargins left="0.7" right="0.7" top="0.75" bottom="0.75" header="0.3" footer="0.3"/>
  <pageSetup paperSize="9" scale="83" orientation="landscape" horizontalDpi="300" verticalDpi="3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6"/>
  <sheetViews>
    <sheetView zoomScale="125" workbookViewId="0">
      <pane xSplit="1" ySplit="3" topLeftCell="D15" activePane="bottomRight" state="frozen"/>
      <selection activeCell="C4" sqref="C4"/>
      <selection pane="topRight" activeCell="C4" sqref="C4"/>
      <selection pane="bottomLeft" activeCell="C4" sqref="C4"/>
      <selection pane="bottomRight" activeCell="K26" sqref="D26:K26"/>
    </sheetView>
  </sheetViews>
  <sheetFormatPr defaultColWidth="8.77734375" defaultRowHeight="14.4" x14ac:dyDescent="0.3"/>
  <cols>
    <col min="1" max="1" width="22.77734375" bestFit="1" customWidth="1"/>
    <col min="2" max="2" width="13.44140625" customWidth="1"/>
    <col min="3" max="11" width="15.44140625" customWidth="1"/>
  </cols>
  <sheetData>
    <row r="1" spans="1:11" s="2" customFormat="1" x14ac:dyDescent="0.3">
      <c r="A1" s="2" t="str">
        <f>'Profit &amp; Loss'!A1</f>
        <v>BAJAJ AUTO LTD</v>
      </c>
      <c r="E1" t="str">
        <f>UPDATE</f>
        <v/>
      </c>
      <c r="G1"/>
    </row>
    <row r="2" spans="1:11" x14ac:dyDescent="0.3">
      <c r="G2" s="2"/>
      <c r="H2" s="2"/>
    </row>
    <row r="3" spans="1:11" x14ac:dyDescent="0.3">
      <c r="A3" s="11" t="s">
        <v>1</v>
      </c>
      <c r="B3" s="12">
        <f>'Data Sheet'!B56</f>
        <v>42094</v>
      </c>
      <c r="C3" s="12">
        <f>'Data Sheet'!C56</f>
        <v>42460</v>
      </c>
      <c r="D3" s="12">
        <f>'Data Sheet'!D56</f>
        <v>42825</v>
      </c>
      <c r="E3" s="12">
        <f>'Data Sheet'!E56</f>
        <v>43190</v>
      </c>
      <c r="F3" s="12">
        <f>'Data Sheet'!F56</f>
        <v>43555</v>
      </c>
      <c r="G3" s="12">
        <f>'Data Sheet'!G56</f>
        <v>43921</v>
      </c>
      <c r="H3" s="12">
        <f>'Data Sheet'!H56</f>
        <v>44286</v>
      </c>
      <c r="I3" s="12">
        <f>'Data Sheet'!I56</f>
        <v>44651</v>
      </c>
      <c r="J3" s="12">
        <f>'Data Sheet'!J56</f>
        <v>45016</v>
      </c>
      <c r="K3" s="12">
        <f>'Data Sheet'!K56</f>
        <v>45382</v>
      </c>
    </row>
    <row r="4" spans="1:11" x14ac:dyDescent="0.3">
      <c r="A4" t="s">
        <v>23</v>
      </c>
      <c r="B4" s="14">
        <f>'Data Sheet'!B57</f>
        <v>289.37</v>
      </c>
      <c r="C4" s="14">
        <f>'Data Sheet'!C57</f>
        <v>289.37</v>
      </c>
      <c r="D4" s="14">
        <f>'Data Sheet'!D57</f>
        <v>289.37</v>
      </c>
      <c r="E4" s="14">
        <f>'Data Sheet'!E57</f>
        <v>289.37</v>
      </c>
      <c r="F4" s="14">
        <f>'Data Sheet'!F57</f>
        <v>289.37</v>
      </c>
      <c r="G4" s="14">
        <f>'Data Sheet'!G57</f>
        <v>289.37</v>
      </c>
      <c r="H4" s="14">
        <f>'Data Sheet'!H57</f>
        <v>289.37</v>
      </c>
      <c r="I4" s="14">
        <f>'Data Sheet'!I57</f>
        <v>289.37</v>
      </c>
      <c r="J4" s="14">
        <f>'Data Sheet'!J57</f>
        <v>282.95999999999998</v>
      </c>
      <c r="K4" s="14">
        <f>'Data Sheet'!K57</f>
        <v>279.18</v>
      </c>
    </row>
    <row r="5" spans="1:11" x14ac:dyDescent="0.3">
      <c r="A5" t="s">
        <v>24</v>
      </c>
      <c r="B5" s="14">
        <f>'Data Sheet'!B58</f>
        <v>10805.95</v>
      </c>
      <c r="C5" s="14">
        <f>'Data Sheet'!C58</f>
        <v>13730.94</v>
      </c>
      <c r="D5" s="14">
        <f>'Data Sheet'!D58</f>
        <v>17567.2</v>
      </c>
      <c r="E5" s="14">
        <f>'Data Sheet'!E58</f>
        <v>20135.87</v>
      </c>
      <c r="F5" s="14">
        <f>'Data Sheet'!F58</f>
        <v>22944.44</v>
      </c>
      <c r="G5" s="14">
        <f>'Data Sheet'!G58</f>
        <v>21372.71</v>
      </c>
      <c r="H5" s="14">
        <f>'Data Sheet'!H58</f>
        <v>26984.06</v>
      </c>
      <c r="I5" s="14">
        <f>'Data Sheet'!I58</f>
        <v>29570.28</v>
      </c>
      <c r="J5" s="14">
        <f>'Data Sheet'!J58</f>
        <v>29078.58</v>
      </c>
      <c r="K5" s="14">
        <f>'Data Sheet'!K58</f>
        <v>28683.23</v>
      </c>
    </row>
    <row r="6" spans="1:11" x14ac:dyDescent="0.3">
      <c r="A6" t="s">
        <v>57</v>
      </c>
      <c r="B6" s="14">
        <f>'Data Sheet'!B59</f>
        <v>112.35</v>
      </c>
      <c r="C6" s="14">
        <f>'Data Sheet'!C59</f>
        <v>117.86</v>
      </c>
      <c r="D6" s="14">
        <f>'Data Sheet'!D59</f>
        <v>119.9</v>
      </c>
      <c r="E6" s="14">
        <f>'Data Sheet'!E59</f>
        <v>120.77</v>
      </c>
      <c r="F6" s="14">
        <f>'Data Sheet'!F59</f>
        <v>124.52</v>
      </c>
      <c r="G6" s="14">
        <f>'Data Sheet'!G59</f>
        <v>125.59</v>
      </c>
      <c r="H6" s="14">
        <f>'Data Sheet'!H59</f>
        <v>121.46</v>
      </c>
      <c r="I6" s="14">
        <f>'Data Sheet'!I59</f>
        <v>122.77</v>
      </c>
      <c r="J6" s="14">
        <f>'Data Sheet'!J59</f>
        <v>124.23</v>
      </c>
      <c r="K6" s="14">
        <f>'Data Sheet'!K59</f>
        <v>1911.74</v>
      </c>
    </row>
    <row r="7" spans="1:11" x14ac:dyDescent="0.3">
      <c r="A7" t="s">
        <v>58</v>
      </c>
      <c r="B7" s="14">
        <f>'Data Sheet'!B60</f>
        <v>4757.93</v>
      </c>
      <c r="C7" s="14">
        <f>'Data Sheet'!C60</f>
        <v>3102.2</v>
      </c>
      <c r="D7" s="14">
        <f>'Data Sheet'!D60</f>
        <v>3661.15</v>
      </c>
      <c r="E7" s="14">
        <f>'Data Sheet'!E60</f>
        <v>4594.99</v>
      </c>
      <c r="F7" s="14">
        <f>'Data Sheet'!F60</f>
        <v>5476.08</v>
      </c>
      <c r="G7" s="14">
        <f>'Data Sheet'!G60</f>
        <v>4722.3500000000004</v>
      </c>
      <c r="H7" s="14">
        <f>'Data Sheet'!H60</f>
        <v>6206.82</v>
      </c>
      <c r="I7" s="14">
        <f>'Data Sheet'!I60</f>
        <v>5128.79</v>
      </c>
      <c r="J7" s="14">
        <f>'Data Sheet'!J60</f>
        <v>5650.68</v>
      </c>
      <c r="K7" s="14">
        <f>'Data Sheet'!K60</f>
        <v>8469.5400000000009</v>
      </c>
    </row>
    <row r="8" spans="1:11" s="2" customFormat="1" x14ac:dyDescent="0.3">
      <c r="A8" s="2" t="s">
        <v>25</v>
      </c>
      <c r="B8" s="15">
        <f>'Data Sheet'!B61</f>
        <v>15965.6</v>
      </c>
      <c r="C8" s="15">
        <f>'Data Sheet'!C61</f>
        <v>17240.37</v>
      </c>
      <c r="D8" s="15">
        <f>'Data Sheet'!D61</f>
        <v>21637.62</v>
      </c>
      <c r="E8" s="15">
        <f>'Data Sheet'!E61</f>
        <v>25141</v>
      </c>
      <c r="F8" s="15">
        <f>'Data Sheet'!F61</f>
        <v>28834.41</v>
      </c>
      <c r="G8" s="15">
        <f>'Data Sheet'!G61</f>
        <v>26510.02</v>
      </c>
      <c r="H8" s="15">
        <f>'Data Sheet'!H61</f>
        <v>33601.71</v>
      </c>
      <c r="I8" s="15">
        <f>'Data Sheet'!I61</f>
        <v>35111.21</v>
      </c>
      <c r="J8" s="15">
        <f>'Data Sheet'!J61</f>
        <v>35136.449999999997</v>
      </c>
      <c r="K8" s="15">
        <f>'Data Sheet'!K61</f>
        <v>39343.69</v>
      </c>
    </row>
    <row r="9" spans="1:11" s="2" customFormat="1" x14ac:dyDescent="0.3">
      <c r="B9" s="15"/>
      <c r="C9" s="15"/>
      <c r="D9" s="15"/>
      <c r="E9" s="15"/>
      <c r="F9" s="15"/>
      <c r="G9" s="15"/>
      <c r="H9" s="15"/>
      <c r="I9" s="15"/>
      <c r="J9" s="15"/>
      <c r="K9" s="15"/>
    </row>
    <row r="10" spans="1:11" x14ac:dyDescent="0.3">
      <c r="A10" t="s">
        <v>26</v>
      </c>
      <c r="B10" s="14">
        <f>'Data Sheet'!B62</f>
        <v>2448.0300000000002</v>
      </c>
      <c r="C10" s="14">
        <f>'Data Sheet'!C62</f>
        <v>2025.67</v>
      </c>
      <c r="D10" s="14">
        <f>'Data Sheet'!D62</f>
        <v>2001.79</v>
      </c>
      <c r="E10" s="14">
        <f>'Data Sheet'!E62</f>
        <v>1878.33</v>
      </c>
      <c r="F10" s="14">
        <f>'Data Sheet'!F62</f>
        <v>1763.94</v>
      </c>
      <c r="G10" s="14">
        <f>'Data Sheet'!G62</f>
        <v>1699.02</v>
      </c>
      <c r="H10" s="14">
        <f>'Data Sheet'!H62</f>
        <v>1667.55</v>
      </c>
      <c r="I10" s="14">
        <f>'Data Sheet'!I62</f>
        <v>1836.05</v>
      </c>
      <c r="J10" s="14">
        <f>'Data Sheet'!J62</f>
        <v>2842.24</v>
      </c>
      <c r="K10" s="14">
        <f>'Data Sheet'!K62</f>
        <v>3217.37</v>
      </c>
    </row>
    <row r="11" spans="1:11" x14ac:dyDescent="0.3">
      <c r="A11" t="s">
        <v>27</v>
      </c>
      <c r="B11" s="14">
        <f>'Data Sheet'!B63</f>
        <v>254.94</v>
      </c>
      <c r="C11" s="14">
        <f>'Data Sheet'!C63</f>
        <v>52.24</v>
      </c>
      <c r="D11" s="14">
        <f>'Data Sheet'!D63</f>
        <v>42.17</v>
      </c>
      <c r="E11" s="14">
        <f>'Data Sheet'!E63</f>
        <v>56.47</v>
      </c>
      <c r="F11" s="14">
        <f>'Data Sheet'!F63</f>
        <v>48.02</v>
      </c>
      <c r="G11" s="14">
        <f>'Data Sheet'!G63</f>
        <v>60.19</v>
      </c>
      <c r="H11" s="14">
        <f>'Data Sheet'!H63</f>
        <v>15.98</v>
      </c>
      <c r="I11" s="14">
        <f>'Data Sheet'!I63</f>
        <v>77.209999999999994</v>
      </c>
      <c r="J11" s="14">
        <f>'Data Sheet'!J63</f>
        <v>85.27</v>
      </c>
      <c r="K11" s="14">
        <f>'Data Sheet'!K63</f>
        <v>35.1</v>
      </c>
    </row>
    <row r="12" spans="1:11" x14ac:dyDescent="0.3">
      <c r="A12" t="s">
        <v>28</v>
      </c>
      <c r="B12" s="14">
        <f>'Data Sheet'!B64</f>
        <v>8985.25</v>
      </c>
      <c r="C12" s="14">
        <f>'Data Sheet'!C64</f>
        <v>11067.23</v>
      </c>
      <c r="D12" s="14">
        <f>'Data Sheet'!D64</f>
        <v>15477.04</v>
      </c>
      <c r="E12" s="14">
        <f>'Data Sheet'!E64</f>
        <v>18894.57</v>
      </c>
      <c r="F12" s="14">
        <f>'Data Sheet'!F64</f>
        <v>20602.849999999999</v>
      </c>
      <c r="G12" s="14">
        <f>'Data Sheet'!G64</f>
        <v>19913.580000000002</v>
      </c>
      <c r="H12" s="14">
        <f>'Data Sheet'!H64</f>
        <v>24686.65</v>
      </c>
      <c r="I12" s="14">
        <f>'Data Sheet'!I64</f>
        <v>26634.12</v>
      </c>
      <c r="J12" s="14">
        <f>'Data Sheet'!J64</f>
        <v>26182.91</v>
      </c>
      <c r="K12" s="14">
        <f>'Data Sheet'!K64</f>
        <v>28086.68</v>
      </c>
    </row>
    <row r="13" spans="1:11" x14ac:dyDescent="0.3">
      <c r="A13" t="s">
        <v>59</v>
      </c>
      <c r="B13" s="14">
        <f>'Data Sheet'!B65</f>
        <v>4277.38</v>
      </c>
      <c r="C13" s="14">
        <f>'Data Sheet'!C65</f>
        <v>4095.23</v>
      </c>
      <c r="D13" s="14">
        <f>'Data Sheet'!D65</f>
        <v>4116.62</v>
      </c>
      <c r="E13" s="14">
        <f>'Data Sheet'!E65</f>
        <v>4311.63</v>
      </c>
      <c r="F13" s="14">
        <f>'Data Sheet'!F65</f>
        <v>6419.6</v>
      </c>
      <c r="G13" s="14">
        <f>'Data Sheet'!G65</f>
        <v>4837.2299999999996</v>
      </c>
      <c r="H13" s="14">
        <f>'Data Sheet'!H65</f>
        <v>7231.53</v>
      </c>
      <c r="I13" s="14">
        <f>'Data Sheet'!I65</f>
        <v>6563.83</v>
      </c>
      <c r="J13" s="14">
        <f>'Data Sheet'!J65</f>
        <v>6026.03</v>
      </c>
      <c r="K13" s="14">
        <f>'Data Sheet'!K65</f>
        <v>8004.54</v>
      </c>
    </row>
    <row r="14" spans="1:11" s="2" customFormat="1" x14ac:dyDescent="0.3">
      <c r="A14" s="2" t="s">
        <v>25</v>
      </c>
      <c r="B14" s="14">
        <f>'Data Sheet'!B66</f>
        <v>15965.6</v>
      </c>
      <c r="C14" s="14">
        <f>'Data Sheet'!C66</f>
        <v>17240.37</v>
      </c>
      <c r="D14" s="14">
        <f>'Data Sheet'!D66</f>
        <v>21637.62</v>
      </c>
      <c r="E14" s="14">
        <f>'Data Sheet'!E66</f>
        <v>25141</v>
      </c>
      <c r="F14" s="14">
        <f>'Data Sheet'!F66</f>
        <v>28834.41</v>
      </c>
      <c r="G14" s="14">
        <f>'Data Sheet'!G66</f>
        <v>26510.02</v>
      </c>
      <c r="H14" s="14">
        <f>'Data Sheet'!H66</f>
        <v>33601.71</v>
      </c>
      <c r="I14" s="14">
        <f>'Data Sheet'!I66</f>
        <v>35111.21</v>
      </c>
      <c r="J14" s="14">
        <f>'Data Sheet'!J66</f>
        <v>35136.449999999997</v>
      </c>
      <c r="K14" s="14">
        <f>'Data Sheet'!K66</f>
        <v>39343.69</v>
      </c>
    </row>
    <row r="15" spans="1:11" x14ac:dyDescent="0.3"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x14ac:dyDescent="0.3">
      <c r="A16" t="s">
        <v>29</v>
      </c>
      <c r="B16" s="4">
        <f>B13-B7</f>
        <v>-480.55000000000018</v>
      </c>
      <c r="C16" s="4">
        <f t="shared" ref="C16:K16" si="0">C13-C7</f>
        <v>993.0300000000002</v>
      </c>
      <c r="D16" s="4">
        <f t="shared" si="0"/>
        <v>455.4699999999998</v>
      </c>
      <c r="E16" s="4">
        <f t="shared" si="0"/>
        <v>-283.35999999999967</v>
      </c>
      <c r="F16" s="4">
        <f t="shared" si="0"/>
        <v>943.52000000000044</v>
      </c>
      <c r="G16" s="4">
        <f t="shared" si="0"/>
        <v>114.8799999999992</v>
      </c>
      <c r="H16" s="4">
        <f t="shared" si="0"/>
        <v>1024.71</v>
      </c>
      <c r="I16" s="4">
        <f t="shared" si="0"/>
        <v>1435.04</v>
      </c>
      <c r="J16" s="4">
        <f t="shared" si="0"/>
        <v>375.34999999999945</v>
      </c>
      <c r="K16" s="4">
        <f t="shared" si="0"/>
        <v>-465.00000000000091</v>
      </c>
    </row>
    <row r="17" spans="1:11" x14ac:dyDescent="0.3">
      <c r="A17" t="s">
        <v>42</v>
      </c>
      <c r="B17" s="4">
        <f>'Data Sheet'!B67</f>
        <v>716.96</v>
      </c>
      <c r="C17" s="4">
        <f>'Data Sheet'!C67</f>
        <v>717.93</v>
      </c>
      <c r="D17" s="4">
        <f>'Data Sheet'!D67</f>
        <v>953.29</v>
      </c>
      <c r="E17" s="4">
        <f>'Data Sheet'!E67</f>
        <v>1491.87</v>
      </c>
      <c r="F17" s="4">
        <f>'Data Sheet'!F67</f>
        <v>2559.69</v>
      </c>
      <c r="G17" s="4">
        <f>'Data Sheet'!G67</f>
        <v>1725.1</v>
      </c>
      <c r="H17" s="4">
        <f>'Data Sheet'!H67</f>
        <v>2716.85</v>
      </c>
      <c r="I17" s="4">
        <f>'Data Sheet'!I67</f>
        <v>1516.38</v>
      </c>
      <c r="J17" s="4">
        <f>'Data Sheet'!J67</f>
        <v>1752.43</v>
      </c>
      <c r="K17" s="4">
        <f>'Data Sheet'!K67</f>
        <v>2075.5300000000002</v>
      </c>
    </row>
    <row r="18" spans="1:11" x14ac:dyDescent="0.3">
      <c r="A18" t="s">
        <v>43</v>
      </c>
      <c r="B18" s="4">
        <f>'Data Sheet'!B68</f>
        <v>814.15</v>
      </c>
      <c r="C18" s="4">
        <f>'Data Sheet'!C68</f>
        <v>719.07</v>
      </c>
      <c r="D18" s="4">
        <f>'Data Sheet'!D68</f>
        <v>728.38</v>
      </c>
      <c r="E18" s="4">
        <f>'Data Sheet'!E68</f>
        <v>742.58</v>
      </c>
      <c r="F18" s="4">
        <f>'Data Sheet'!F68</f>
        <v>961.51</v>
      </c>
      <c r="G18" s="4">
        <f>'Data Sheet'!G68</f>
        <v>1063.5</v>
      </c>
      <c r="H18" s="4">
        <f>'Data Sheet'!H68</f>
        <v>1493.89</v>
      </c>
      <c r="I18" s="4">
        <f>'Data Sheet'!I68</f>
        <v>1230.51</v>
      </c>
      <c r="J18" s="4">
        <f>'Data Sheet'!J68</f>
        <v>1563.55</v>
      </c>
      <c r="K18" s="4">
        <f>'Data Sheet'!K68</f>
        <v>1688.75</v>
      </c>
    </row>
    <row r="20" spans="1:11" x14ac:dyDescent="0.3">
      <c r="A20" t="s">
        <v>44</v>
      </c>
      <c r="B20" s="4">
        <f>IF('Profit &amp; Loss'!B4&gt;0,'Balance Sheet'!B17/('Profit &amp; Loss'!B4/365),0)</f>
        <v>12.117854510026193</v>
      </c>
      <c r="C20" s="4">
        <f>IF('Profit &amp; Loss'!C4&gt;0,'Balance Sheet'!C17/('Profit &amp; Loss'!C4/365),0)</f>
        <v>11.608401196259894</v>
      </c>
      <c r="D20" s="4">
        <f>IF('Profit &amp; Loss'!D4&gt;0,'Balance Sheet'!D17/('Profit &amp; Loss'!D4/365),0)</f>
        <v>15.994269289607036</v>
      </c>
      <c r="E20" s="4">
        <f>IF('Profit &amp; Loss'!E4&gt;0,'Balance Sheet'!E17/('Profit &amp; Loss'!E4/365),0)</f>
        <v>21.599923125530296</v>
      </c>
      <c r="F20" s="4">
        <f>IF('Profit &amp; Loss'!F4&gt;0,'Balance Sheet'!F17/('Profit &amp; Loss'!F4/365),0)</f>
        <v>30.776014135490811</v>
      </c>
      <c r="G20" s="4">
        <f>IF('Profit &amp; Loss'!G4&gt;0,'Balance Sheet'!G17/('Profit &amp; Loss'!G4/365),0)</f>
        <v>21.045785822555494</v>
      </c>
      <c r="H20" s="4">
        <f>IF('Profit &amp; Loss'!H4&gt;0,'Balance Sheet'!H17/('Profit &amp; Loss'!H4/365),0)</f>
        <v>35.746634593894683</v>
      </c>
      <c r="I20" s="4">
        <f>IF('Profit &amp; Loss'!I4&gt;0,'Balance Sheet'!I17/('Profit &amp; Loss'!I4/365),0)</f>
        <v>16.698854809711719</v>
      </c>
      <c r="J20" s="4">
        <f>IF('Profit &amp; Loss'!J4&gt;0,'Balance Sheet'!J17/('Profit &amp; Loss'!J4/365),0)</f>
        <v>17.545749077365262</v>
      </c>
      <c r="K20" s="4">
        <f>IF('Profit &amp; Loss'!K4&gt;0,'Balance Sheet'!K17/('Profit &amp; Loss'!K4/365),0)</f>
        <v>16.883467575416596</v>
      </c>
    </row>
    <row r="21" spans="1:11" x14ac:dyDescent="0.3">
      <c r="A21" t="s">
        <v>45</v>
      </c>
      <c r="B21" s="4">
        <f>IF('Balance Sheet'!B18&gt;0,'Profit &amp; Loss'!B4/'Balance Sheet'!B18,0)</f>
        <v>26.525136645581281</v>
      </c>
      <c r="C21" s="4">
        <f>IF('Balance Sheet'!C18&gt;0,'Profit &amp; Loss'!C4/'Balance Sheet'!C18,0)</f>
        <v>31.392896380046444</v>
      </c>
      <c r="D21" s="4">
        <f>IF('Balance Sheet'!D18&gt;0,'Profit &amp; Loss'!D4/'Balance Sheet'!D18,0)</f>
        <v>29.867267085861776</v>
      </c>
      <c r="E21" s="4">
        <f>IF('Balance Sheet'!E18&gt;0,'Profit &amp; Loss'!E4/'Balance Sheet'!E18,0)</f>
        <v>33.949109860217078</v>
      </c>
      <c r="F21" s="4">
        <f>IF('Balance Sheet'!F18&gt;0,'Profit &amp; Loss'!F4/'Balance Sheet'!F18,0)</f>
        <v>31.572869756944808</v>
      </c>
      <c r="G21" s="4">
        <f>IF('Balance Sheet'!G18&gt;0,'Profit &amp; Loss'!G4/'Balance Sheet'!G18,0)</f>
        <v>28.132251998119418</v>
      </c>
      <c r="H21" s="4">
        <f>IF('Balance Sheet'!H18&gt;0,'Profit &amp; Loss'!H4/'Balance Sheet'!H18,0)</f>
        <v>18.569693886430727</v>
      </c>
      <c r="I21" s="4">
        <f>IF('Balance Sheet'!I18&gt;0,'Profit &amp; Loss'!I4/'Balance Sheet'!I18,0)</f>
        <v>26.935750217389536</v>
      </c>
      <c r="J21" s="4">
        <f>IF('Balance Sheet'!J18&gt;0,'Profit &amp; Loss'!J4/'Balance Sheet'!J18,0)</f>
        <v>23.315774999200535</v>
      </c>
      <c r="K21" s="4">
        <f>IF('Balance Sheet'!K18&gt;0,'Profit &amp; Loss'!K4/'Balance Sheet'!K18,0)</f>
        <v>26.57020281273131</v>
      </c>
    </row>
    <row r="23" spans="1:11" s="2" customFormat="1" x14ac:dyDescent="0.3">
      <c r="A23" s="2" t="s">
        <v>48</v>
      </c>
      <c r="B23" s="10">
        <f>IF(SUM('Balance Sheet'!B4:B5)&gt;0,'Profit &amp; Loss'!B12/SUM('Balance Sheet'!B4:B5),"")</f>
        <v>0.27269425307246659</v>
      </c>
      <c r="C23" s="10">
        <f>IF(SUM('Balance Sheet'!C4:C5)&gt;0,'Profit &amp; Loss'!C12/SUM('Balance Sheet'!C4:C5),"")</f>
        <v>0.28966834542174885</v>
      </c>
      <c r="D23" s="10">
        <f>IF(SUM('Balance Sheet'!D4:D5)&gt;0,'Profit &amp; Loss'!D12/SUM('Balance Sheet'!D4:D5),"")</f>
        <v>0.22845876895730813</v>
      </c>
      <c r="E23" s="10">
        <f>IF(SUM('Balance Sheet'!E4:E5)&gt;0,'Profit &amp; Loss'!E12/SUM('Balance Sheet'!E4:E5),"")</f>
        <v>0.206555712442057</v>
      </c>
      <c r="F23" s="10">
        <f>IF(SUM('Balance Sheet'!F4:F5)&gt;0,'Profit &amp; Loss'!F12/SUM('Balance Sheet'!F4:F5),"")</f>
        <v>0.21208790120948739</v>
      </c>
      <c r="G23" s="10">
        <f>IF(SUM('Balance Sheet'!G4:G5)&gt;0,'Profit &amp; Loss'!G12/SUM('Balance Sheet'!G4:G5),"")</f>
        <v>0.24060062560935977</v>
      </c>
      <c r="H23" s="10">
        <f>IF(SUM('Balance Sheet'!H4:H5)&gt;0,'Profit &amp; Loss'!H12/SUM('Balance Sheet'!H4:H5),"")</f>
        <v>0.17808614464700628</v>
      </c>
      <c r="I23" s="10">
        <f>IF(SUM('Balance Sheet'!I4:I5)&gt;0,'Profit &amp; Loss'!I12/SUM('Balance Sheet'!I4:I5),"")</f>
        <v>0.20649505268815946</v>
      </c>
      <c r="J23" s="10">
        <f>IF(SUM('Balance Sheet'!J4:J5)&gt;0,'Profit &amp; Loss'!J12/SUM('Balance Sheet'!J4:J5),"")</f>
        <v>0.206399596206466</v>
      </c>
      <c r="K23" s="10">
        <f>IF(SUM('Balance Sheet'!K4:K5)&gt;0,'Profit &amp; Loss'!K12/SUM('Balance Sheet'!K4:K5),"")</f>
        <v>0.26614636005774378</v>
      </c>
    </row>
    <row r="24" spans="1:11" s="2" customFormat="1" x14ac:dyDescent="0.3">
      <c r="A24" s="2" t="s">
        <v>49</v>
      </c>
      <c r="B24" s="10"/>
      <c r="C24" s="10">
        <f>IF((B4+B5+B6+C4+C5+C6)&gt;0,('Profit &amp; Loss'!C10+'Profit &amp; Loss'!C9)*2/(B4+B5+B6+C4+C5+C6),"")</f>
        <v>0.44819504897056084</v>
      </c>
      <c r="D24" s="10">
        <f>IF((C4+C5+C6+D4+D5+D6)&gt;0,('Profit &amp; Loss'!D10+'Profit &amp; Loss'!D9)*2/(C4+C5+C6+D4+D5+D6),"")</f>
        <v>0.34806244130402825</v>
      </c>
      <c r="E24" s="10">
        <f>IF((D4+D5+D6+E4+E5+E6)&gt;0,('Profit &amp; Loss'!E10+'Profit &amp; Loss'!E9)*2/(D4+D5+D6+E4+E5+E6),"")</f>
        <v>0.3081172344044309</v>
      </c>
      <c r="F24" s="10">
        <f>IF((E4+E5+E6+F4+F5+F6)&gt;0,('Profit &amp; Loss'!F10+'Profit &amp; Loss'!F9)*2/(E4+E5+E6+F4+F5+F6),"")</f>
        <v>0.31705567148942454</v>
      </c>
      <c r="G24" s="10">
        <f>IF((F4+F5+F6+G4+G5+G6)&gt;0,('Profit &amp; Loss'!G10+'Profit &amp; Loss'!G9)*2/(F4+F5+F6+G4+G5+G6),"")</f>
        <v>0.29660612235857003</v>
      </c>
      <c r="H24" s="10">
        <f>IF((G4+G5+G6+H4+H5+H6)&gt;0,('Profit &amp; Loss'!H10+'Profit &amp; Loss'!H9)*2/(G4+G5+G6+H4+H5+H6),"")</f>
        <v>0.25407746160427602</v>
      </c>
      <c r="I24" s="10">
        <f>IF((H4+H5+H6+I4+I5+I6)&gt;0,('Profit &amp; Loss'!I10+'Profit &amp; Loss'!I9)*2/(H4+H5+H6+I4+I5+I6),"")</f>
        <v>0.26701635193424028</v>
      </c>
      <c r="J24" s="10">
        <f>IF((I4+I5+I6+J4+J5+J6)&gt;0,('Profit &amp; Loss'!J10+'Profit &amp; Loss'!J9)*2/(I4+I5+I6+J4+J5+J6),"")</f>
        <v>0.26506574355130025</v>
      </c>
      <c r="K24" s="10">
        <f>IF((J4+J5+J6+K4+K5+K6)&gt;0,('Profit &amp; Loss'!K10+'Profit &amp; Loss'!K9)*2/(J4+J5+J6+K4+K5+K6),"")</f>
        <v>0.33467241175932644</v>
      </c>
    </row>
    <row r="26" spans="1:11" x14ac:dyDescent="0.3">
      <c r="C26" s="97">
        <f t="shared" ref="C26:E26" si="1">C16-B16</f>
        <v>1473.5800000000004</v>
      </c>
      <c r="D26" s="97">
        <f t="shared" si="1"/>
        <v>-537.5600000000004</v>
      </c>
      <c r="E26" s="97">
        <f t="shared" si="1"/>
        <v>-738.82999999999947</v>
      </c>
      <c r="F26" s="97">
        <f t="shared" ref="F26:H26" si="2">F16-E16</f>
        <v>1226.8800000000001</v>
      </c>
      <c r="G26" s="97">
        <f t="shared" si="2"/>
        <v>-828.64000000000124</v>
      </c>
      <c r="H26" s="97">
        <f t="shared" si="2"/>
        <v>909.83000000000084</v>
      </c>
      <c r="I26" s="97">
        <f>I16-H16</f>
        <v>410.32999999999993</v>
      </c>
      <c r="J26" s="97">
        <f t="shared" ref="J26:K26" si="3">J16-I16</f>
        <v>-1059.6900000000005</v>
      </c>
      <c r="K26" s="97">
        <f t="shared" si="3"/>
        <v>-840.35000000000036</v>
      </c>
    </row>
  </sheetData>
  <printOptions gridLines="1"/>
  <pageMargins left="0.7" right="0.7" top="0.75" bottom="0.75" header="0.3" footer="0.3"/>
  <pageSetup paperSize="9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J1" sqref="J1"/>
    </sheetView>
  </sheetViews>
  <sheetFormatPr defaultColWidth="8.77734375" defaultRowHeight="14.4" x14ac:dyDescent="0.3"/>
  <cols>
    <col min="1" max="1" width="26.77734375" bestFit="1" customWidth="1"/>
    <col min="2" max="6" width="13.44140625" customWidth="1"/>
    <col min="7" max="11" width="13.44140625" bestFit="1" customWidth="1"/>
  </cols>
  <sheetData>
    <row r="1" spans="1:11" s="2" customFormat="1" x14ac:dyDescent="0.3">
      <c r="A1" s="2" t="str">
        <f>'Balance Sheet'!A1</f>
        <v>BAJAJ AUTO LTD</v>
      </c>
      <c r="E1" t="str">
        <f>UPDATE</f>
        <v/>
      </c>
      <c r="F1"/>
    </row>
    <row r="3" spans="1:11" s="2" customFormat="1" x14ac:dyDescent="0.3">
      <c r="A3" s="11" t="s">
        <v>1</v>
      </c>
      <c r="B3" s="12">
        <f>'Data Sheet'!B81</f>
        <v>42094</v>
      </c>
      <c r="C3" s="12">
        <f>'Data Sheet'!C81</f>
        <v>42460</v>
      </c>
      <c r="D3" s="12">
        <f>'Data Sheet'!D81</f>
        <v>42825</v>
      </c>
      <c r="E3" s="12">
        <f>'Data Sheet'!E81</f>
        <v>43190</v>
      </c>
      <c r="F3" s="12">
        <f>'Data Sheet'!F81</f>
        <v>43555</v>
      </c>
      <c r="G3" s="12">
        <f>'Data Sheet'!G81</f>
        <v>43921</v>
      </c>
      <c r="H3" s="12">
        <f>'Data Sheet'!H81</f>
        <v>44286</v>
      </c>
      <c r="I3" s="12">
        <f>'Data Sheet'!I81</f>
        <v>44651</v>
      </c>
      <c r="J3" s="12">
        <f>'Data Sheet'!J81</f>
        <v>45016</v>
      </c>
      <c r="K3" s="12">
        <f>'Data Sheet'!K81</f>
        <v>45382</v>
      </c>
    </row>
    <row r="4" spans="1:11" s="2" customFormat="1" x14ac:dyDescent="0.3">
      <c r="A4" s="2" t="s">
        <v>31</v>
      </c>
      <c r="B4" s="1">
        <f>'Data Sheet'!B82</f>
        <v>2113.8000000000002</v>
      </c>
      <c r="C4" s="1">
        <f>'Data Sheet'!C82</f>
        <v>3689.85</v>
      </c>
      <c r="D4" s="1">
        <f>'Data Sheet'!D82</f>
        <v>3267.36</v>
      </c>
      <c r="E4" s="1">
        <f>'Data Sheet'!E82</f>
        <v>4327.84</v>
      </c>
      <c r="F4" s="1">
        <f>'Data Sheet'!F82</f>
        <v>2486.86</v>
      </c>
      <c r="G4" s="1">
        <f>'Data Sheet'!G82</f>
        <v>3850.44</v>
      </c>
      <c r="H4" s="1">
        <f>'Data Sheet'!H82</f>
        <v>3119.88</v>
      </c>
      <c r="I4" s="1">
        <f>'Data Sheet'!I82</f>
        <v>4197.21</v>
      </c>
      <c r="J4" s="1">
        <f>'Data Sheet'!J82</f>
        <v>5277.42</v>
      </c>
      <c r="K4" s="1">
        <f>'Data Sheet'!K82</f>
        <v>6558.16</v>
      </c>
    </row>
    <row r="5" spans="1:11" x14ac:dyDescent="0.3">
      <c r="A5" t="s">
        <v>32</v>
      </c>
      <c r="B5" s="6">
        <f>'Data Sheet'!B83</f>
        <v>-379.66</v>
      </c>
      <c r="C5" s="6">
        <f>'Data Sheet'!C83</f>
        <v>-67.52</v>
      </c>
      <c r="D5" s="6">
        <f>'Data Sheet'!D83</f>
        <v>-3609.68</v>
      </c>
      <c r="E5" s="6">
        <f>'Data Sheet'!E83</f>
        <v>-1954.48</v>
      </c>
      <c r="F5" s="6">
        <f>'Data Sheet'!F83</f>
        <v>-272.77</v>
      </c>
      <c r="G5" s="6">
        <f>'Data Sheet'!G83</f>
        <v>1765.83</v>
      </c>
      <c r="H5" s="6">
        <f>'Data Sheet'!H83</f>
        <v>-2869.15</v>
      </c>
      <c r="I5" s="6">
        <f>'Data Sheet'!I83</f>
        <v>276.2</v>
      </c>
      <c r="J5" s="6">
        <f>'Data Sheet'!J83</f>
        <v>1211.21</v>
      </c>
      <c r="K5" s="6">
        <f>'Data Sheet'!K83</f>
        <v>-71.97</v>
      </c>
    </row>
    <row r="6" spans="1:11" x14ac:dyDescent="0.3">
      <c r="A6" t="s">
        <v>33</v>
      </c>
      <c r="B6" s="6">
        <f>'Data Sheet'!B84</f>
        <v>-1644.18</v>
      </c>
      <c r="C6" s="6">
        <f>'Data Sheet'!C84</f>
        <v>-3384.08</v>
      </c>
      <c r="D6" s="6">
        <f>'Data Sheet'!D84</f>
        <v>-190.09</v>
      </c>
      <c r="E6" s="6">
        <f>'Data Sheet'!E84</f>
        <v>-1885.26</v>
      </c>
      <c r="F6" s="6">
        <f>'Data Sheet'!F84</f>
        <v>-2074.0500000000002</v>
      </c>
      <c r="G6" s="6">
        <f>'Data Sheet'!G84</f>
        <v>-6246.51</v>
      </c>
      <c r="H6" s="6">
        <f>'Data Sheet'!H84</f>
        <v>-19.52</v>
      </c>
      <c r="I6" s="6">
        <f>'Data Sheet'!I84</f>
        <v>-4056.33</v>
      </c>
      <c r="J6" s="6">
        <f>'Data Sheet'!J84</f>
        <v>-7180.7</v>
      </c>
      <c r="K6" s="6">
        <f>'Data Sheet'!K84</f>
        <v>-6167.36</v>
      </c>
    </row>
    <row r="7" spans="1:11" s="2" customFormat="1" x14ac:dyDescent="0.3">
      <c r="A7" s="2" t="s">
        <v>34</v>
      </c>
      <c r="B7" s="1">
        <f>'Data Sheet'!B85</f>
        <v>89.96</v>
      </c>
      <c r="C7" s="1">
        <f>'Data Sheet'!C85</f>
        <v>238.25</v>
      </c>
      <c r="D7" s="1">
        <f>'Data Sheet'!D85</f>
        <v>-532.41</v>
      </c>
      <c r="E7" s="1">
        <f>'Data Sheet'!E85</f>
        <v>488.1</v>
      </c>
      <c r="F7" s="1">
        <f>'Data Sheet'!F85</f>
        <v>140.04</v>
      </c>
      <c r="G7" s="1">
        <f>'Data Sheet'!G85</f>
        <v>-630.24</v>
      </c>
      <c r="H7" s="1">
        <f>'Data Sheet'!H85</f>
        <v>231.21</v>
      </c>
      <c r="I7" s="1">
        <f>'Data Sheet'!I85</f>
        <v>417.08</v>
      </c>
      <c r="J7" s="1">
        <f>'Data Sheet'!J85</f>
        <v>-692.07</v>
      </c>
      <c r="K7" s="1">
        <f>'Data Sheet'!K85</f>
        <v>318.83</v>
      </c>
    </row>
    <row r="8" spans="1:11" x14ac:dyDescent="0.3">
      <c r="B8" s="6"/>
      <c r="C8" s="6"/>
      <c r="D8" s="6"/>
      <c r="E8" s="6"/>
      <c r="F8" s="6"/>
      <c r="G8" s="6"/>
      <c r="H8" s="6"/>
      <c r="I8" s="6"/>
      <c r="J8" s="6"/>
      <c r="K8" s="6"/>
    </row>
    <row r="24" customFormat="1" x14ac:dyDescent="0.3"/>
  </sheetData>
  <printOptions gridLines="1"/>
  <pageMargins left="0.7" right="0.7" top="0.75" bottom="0.75" header="0.3" footer="0.3"/>
  <pageSetup paperSize="9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93"/>
  <sheetViews>
    <sheetView zoomScale="120" zoomScaleNormal="120" zoomScalePageLayoutView="120" workbookViewId="0">
      <pane xSplit="1" ySplit="1" topLeftCell="B16" activePane="bottomRight" state="frozen"/>
      <selection activeCell="C4" sqref="C4"/>
      <selection pane="topRight" activeCell="C4" sqref="C4"/>
      <selection pane="bottomLeft" activeCell="C4" sqref="C4"/>
      <selection pane="bottomRight" activeCell="B6" sqref="B6"/>
    </sheetView>
  </sheetViews>
  <sheetFormatPr defaultColWidth="8.77734375" defaultRowHeight="14.4" x14ac:dyDescent="0.3"/>
  <cols>
    <col min="1" max="1" width="27.6640625" style="4" bestFit="1" customWidth="1"/>
    <col min="2" max="11" width="13.44140625" style="4" bestFit="1" customWidth="1"/>
    <col min="12" max="16384" width="8.77734375" style="4"/>
  </cols>
  <sheetData>
    <row r="1" spans="1:11" s="1" customFormat="1" x14ac:dyDescent="0.3">
      <c r="A1" s="1" t="s">
        <v>0</v>
      </c>
      <c r="B1" s="1" t="s">
        <v>50</v>
      </c>
      <c r="E1" s="230" t="str">
        <f>IF(B2&lt;&gt;B3, "A NEW VERSION OF THE WORKSHEET IS AVAILABLE", "")</f>
        <v/>
      </c>
      <c r="F1" s="230"/>
      <c r="G1" s="230"/>
      <c r="H1" s="230"/>
      <c r="I1" s="230"/>
      <c r="J1" s="230"/>
      <c r="K1" s="230"/>
    </row>
    <row r="2" spans="1:11" x14ac:dyDescent="0.3">
      <c r="A2" s="1"/>
      <c r="E2" s="231"/>
      <c r="F2" s="231"/>
      <c r="G2" s="231"/>
      <c r="H2" s="231"/>
      <c r="I2" s="231"/>
      <c r="J2" s="231"/>
      <c r="K2" s="231"/>
    </row>
    <row r="3" spans="1:11" x14ac:dyDescent="0.3">
      <c r="A3" s="1"/>
    </row>
    <row r="4" spans="1:11" x14ac:dyDescent="0.3">
      <c r="A4" s="1"/>
    </row>
    <row r="5" spans="1:11" x14ac:dyDescent="0.3">
      <c r="A5" s="1"/>
    </row>
    <row r="6" spans="1:11" x14ac:dyDescent="0.3">
      <c r="A6" s="4" t="s">
        <v>40</v>
      </c>
      <c r="B6" s="4">
        <f>IF(B9&gt;0, B9/B8, 0)</f>
        <v>27.926631100333434</v>
      </c>
    </row>
    <row r="7" spans="1:11" x14ac:dyDescent="0.3">
      <c r="A7" s="4" t="s">
        <v>30</v>
      </c>
      <c r="B7">
        <v>10</v>
      </c>
    </row>
    <row r="8" spans="1:11" x14ac:dyDescent="0.3">
      <c r="A8" s="4" t="s">
        <v>41</v>
      </c>
      <c r="B8">
        <v>8247.5</v>
      </c>
    </row>
    <row r="9" spans="1:11" x14ac:dyDescent="0.3">
      <c r="A9" s="4" t="s">
        <v>65</v>
      </c>
      <c r="B9">
        <v>230324.89</v>
      </c>
    </row>
    <row r="15" spans="1:11" x14ac:dyDescent="0.3">
      <c r="A15" s="1" t="s">
        <v>35</v>
      </c>
    </row>
    <row r="16" spans="1:11" s="18" customFormat="1" x14ac:dyDescent="0.3">
      <c r="A16" s="17" t="s">
        <v>36</v>
      </c>
      <c r="B16" s="12">
        <v>42094</v>
      </c>
      <c r="C16" s="12">
        <v>42460</v>
      </c>
      <c r="D16" s="12">
        <v>42825</v>
      </c>
      <c r="E16" s="12">
        <v>43190</v>
      </c>
      <c r="F16" s="12">
        <v>43555</v>
      </c>
      <c r="G16" s="12">
        <v>43921</v>
      </c>
      <c r="H16" s="12">
        <v>44286</v>
      </c>
      <c r="I16" s="12">
        <v>44651</v>
      </c>
      <c r="J16" s="12">
        <v>45016</v>
      </c>
      <c r="K16" s="12">
        <v>45382</v>
      </c>
    </row>
    <row r="17" spans="1:12" s="6" customFormat="1" x14ac:dyDescent="0.3">
      <c r="A17" s="6" t="s">
        <v>5</v>
      </c>
      <c r="B17">
        <v>21595.439999999999</v>
      </c>
      <c r="C17">
        <v>22573.69</v>
      </c>
      <c r="D17">
        <v>21754.720000000001</v>
      </c>
      <c r="E17">
        <v>25209.93</v>
      </c>
      <c r="F17">
        <v>30357.63</v>
      </c>
      <c r="G17">
        <v>29918.65</v>
      </c>
      <c r="H17">
        <v>27741.08</v>
      </c>
      <c r="I17">
        <v>33144.71</v>
      </c>
      <c r="J17">
        <v>36455.379999999997</v>
      </c>
      <c r="K17">
        <v>44870.43</v>
      </c>
    </row>
    <row r="18" spans="1:12" s="6" customFormat="1" x14ac:dyDescent="0.3">
      <c r="A18" s="4" t="s">
        <v>66</v>
      </c>
      <c r="B18">
        <v>14907.89</v>
      </c>
      <c r="C18">
        <v>14993.41</v>
      </c>
      <c r="D18">
        <v>14667.83</v>
      </c>
      <c r="E18">
        <v>17400.41</v>
      </c>
      <c r="F18">
        <v>21854.1</v>
      </c>
      <c r="G18">
        <v>21071.29</v>
      </c>
      <c r="H18">
        <v>19829.13</v>
      </c>
      <c r="I18">
        <v>24141.86</v>
      </c>
      <c r="J18">
        <v>26221.58</v>
      </c>
      <c r="K18">
        <v>31969.57</v>
      </c>
    </row>
    <row r="19" spans="1:12" s="6" customFormat="1" x14ac:dyDescent="0.3">
      <c r="A19" s="4" t="s">
        <v>67</v>
      </c>
      <c r="B19">
        <v>56.46</v>
      </c>
      <c r="C19">
        <v>-63.45</v>
      </c>
      <c r="D19">
        <v>43.68</v>
      </c>
      <c r="E19">
        <v>-9.68</v>
      </c>
      <c r="F19">
        <v>56.42</v>
      </c>
      <c r="G19">
        <v>63.01</v>
      </c>
      <c r="H19">
        <v>219.48</v>
      </c>
      <c r="I19">
        <v>-187.96</v>
      </c>
      <c r="J19">
        <v>100.33</v>
      </c>
      <c r="K19">
        <v>76.34</v>
      </c>
    </row>
    <row r="20" spans="1:12" s="6" customFormat="1" x14ac:dyDescent="0.3">
      <c r="A20" s="4" t="s">
        <v>68</v>
      </c>
      <c r="B20">
        <v>114.8</v>
      </c>
      <c r="C20">
        <v>120.66</v>
      </c>
      <c r="D20">
        <v>96.46</v>
      </c>
      <c r="E20">
        <v>100.26</v>
      </c>
      <c r="F20">
        <v>115.01</v>
      </c>
      <c r="G20">
        <v>116.57</v>
      </c>
      <c r="H20">
        <v>91.34</v>
      </c>
      <c r="I20">
        <v>108.01</v>
      </c>
      <c r="J20">
        <v>122.6</v>
      </c>
      <c r="K20">
        <v>147.94</v>
      </c>
    </row>
    <row r="21" spans="1:12" s="6" customFormat="1" x14ac:dyDescent="0.3">
      <c r="A21" s="4" t="s">
        <v>69</v>
      </c>
      <c r="B21">
        <v>655.78</v>
      </c>
      <c r="C21">
        <v>644.19000000000005</v>
      </c>
      <c r="D21">
        <v>547.54</v>
      </c>
      <c r="E21">
        <v>550.16</v>
      </c>
      <c r="F21">
        <v>633.99</v>
      </c>
      <c r="G21">
        <v>698.83</v>
      </c>
      <c r="H21">
        <v>597.11</v>
      </c>
      <c r="I21">
        <v>836.28</v>
      </c>
      <c r="J21">
        <v>743.55</v>
      </c>
      <c r="K21">
        <v>734.43</v>
      </c>
    </row>
    <row r="22" spans="1:12" s="6" customFormat="1" x14ac:dyDescent="0.3">
      <c r="A22" s="4" t="s">
        <v>70</v>
      </c>
      <c r="B22">
        <v>901.3</v>
      </c>
      <c r="C22">
        <v>920.01</v>
      </c>
      <c r="D22">
        <v>999.83</v>
      </c>
      <c r="E22">
        <v>1072.5899999999999</v>
      </c>
      <c r="F22">
        <v>1260.32</v>
      </c>
      <c r="G22">
        <v>1395</v>
      </c>
      <c r="H22">
        <v>1296.07</v>
      </c>
      <c r="I22">
        <v>1366</v>
      </c>
      <c r="J22">
        <v>1488.1</v>
      </c>
      <c r="K22">
        <v>1631.06</v>
      </c>
    </row>
    <row r="23" spans="1:12" s="6" customFormat="1" x14ac:dyDescent="0.3">
      <c r="A23" s="4" t="s">
        <v>71</v>
      </c>
      <c r="B23">
        <v>707.58</v>
      </c>
      <c r="C23">
        <v>795.66</v>
      </c>
      <c r="D23">
        <v>699.73</v>
      </c>
      <c r="E23">
        <v>852.82</v>
      </c>
      <c r="F23">
        <v>940.92</v>
      </c>
      <c r="G23">
        <v>1020.98</v>
      </c>
      <c r="H23">
        <v>654.86</v>
      </c>
      <c r="I23">
        <v>644.9</v>
      </c>
      <c r="J23">
        <v>852.61</v>
      </c>
      <c r="K23">
        <v>999.37</v>
      </c>
    </row>
    <row r="24" spans="1:12" s="6" customFormat="1" x14ac:dyDescent="0.3">
      <c r="A24" s="4" t="s">
        <v>72</v>
      </c>
      <c r="B24">
        <v>236.15</v>
      </c>
      <c r="C24">
        <v>243.36</v>
      </c>
      <c r="D24">
        <v>358.38</v>
      </c>
      <c r="E24">
        <v>378.21</v>
      </c>
      <c r="F24">
        <v>411.79</v>
      </c>
      <c r="G24">
        <v>569.65</v>
      </c>
      <c r="H24">
        <v>554.27</v>
      </c>
      <c r="I24">
        <v>600.9</v>
      </c>
      <c r="J24">
        <v>662.63</v>
      </c>
      <c r="K24">
        <v>699.72</v>
      </c>
    </row>
    <row r="25" spans="1:12" s="6" customFormat="1" x14ac:dyDescent="0.3">
      <c r="A25" s="6" t="s">
        <v>8</v>
      </c>
      <c r="B25">
        <v>228.5</v>
      </c>
      <c r="C25">
        <v>1194.1500000000001</v>
      </c>
      <c r="D25">
        <v>1467.61</v>
      </c>
      <c r="E25">
        <v>1403.72</v>
      </c>
      <c r="F25">
        <v>2027.83</v>
      </c>
      <c r="G25">
        <v>1832.38</v>
      </c>
      <c r="H25">
        <v>1569.68</v>
      </c>
      <c r="I25">
        <v>2671.3</v>
      </c>
      <c r="J25">
        <v>1702.7</v>
      </c>
      <c r="K25">
        <v>1700.49</v>
      </c>
    </row>
    <row r="26" spans="1:12" s="6" customFormat="1" x14ac:dyDescent="0.3">
      <c r="A26" s="6" t="s">
        <v>9</v>
      </c>
      <c r="B26">
        <v>267.45999999999998</v>
      </c>
      <c r="C26">
        <v>307.16000000000003</v>
      </c>
      <c r="D26">
        <v>307.29000000000002</v>
      </c>
      <c r="E26">
        <v>314.8</v>
      </c>
      <c r="F26">
        <v>265.69</v>
      </c>
      <c r="G26">
        <v>246.43</v>
      </c>
      <c r="H26">
        <v>259.37</v>
      </c>
      <c r="I26">
        <v>269.76</v>
      </c>
      <c r="J26">
        <v>285.85000000000002</v>
      </c>
      <c r="K26">
        <v>364.77</v>
      </c>
      <c r="L26" s="6">
        <f>AVERAGE(E26:K26)</f>
        <v>286.66714285714289</v>
      </c>
    </row>
    <row r="27" spans="1:12" s="6" customFormat="1" x14ac:dyDescent="0.3">
      <c r="A27" s="6" t="s">
        <v>10</v>
      </c>
      <c r="B27">
        <v>6.49</v>
      </c>
      <c r="C27">
        <v>1.05</v>
      </c>
      <c r="D27">
        <v>1.4</v>
      </c>
      <c r="E27">
        <v>1.31</v>
      </c>
      <c r="F27">
        <v>4.4800000000000004</v>
      </c>
      <c r="G27">
        <v>3.16</v>
      </c>
      <c r="H27">
        <v>6.66</v>
      </c>
      <c r="I27">
        <v>8.66</v>
      </c>
      <c r="J27">
        <v>39.51</v>
      </c>
      <c r="K27">
        <v>60.36</v>
      </c>
    </row>
    <row r="28" spans="1:12" s="6" customFormat="1" x14ac:dyDescent="0.3">
      <c r="A28" s="6" t="s">
        <v>11</v>
      </c>
      <c r="B28">
        <v>4082.95</v>
      </c>
      <c r="C28">
        <v>5678.89</v>
      </c>
      <c r="D28">
        <v>5587.55</v>
      </c>
      <c r="E28">
        <v>5933.41</v>
      </c>
      <c r="F28">
        <v>6955.58</v>
      </c>
      <c r="G28">
        <v>6692.13</v>
      </c>
      <c r="H28">
        <v>6241.43</v>
      </c>
      <c r="I28">
        <v>7651.68</v>
      </c>
      <c r="J28">
        <v>7841.98</v>
      </c>
      <c r="K28">
        <v>10040.040000000001</v>
      </c>
    </row>
    <row r="29" spans="1:12" s="6" customFormat="1" x14ac:dyDescent="0.3">
      <c r="A29" s="6" t="s">
        <v>12</v>
      </c>
      <c r="B29">
        <v>1271.05</v>
      </c>
      <c r="C29">
        <v>1617.65</v>
      </c>
      <c r="D29">
        <v>1508.07</v>
      </c>
      <c r="E29">
        <v>1714.47</v>
      </c>
      <c r="F29">
        <v>2027.98</v>
      </c>
      <c r="G29">
        <v>1480.22</v>
      </c>
      <c r="H29">
        <v>1384.41</v>
      </c>
      <c r="I29">
        <v>1485.81</v>
      </c>
      <c r="J29">
        <v>1781.77</v>
      </c>
      <c r="K29">
        <v>2331.8000000000002</v>
      </c>
    </row>
    <row r="30" spans="1:12" s="6" customFormat="1" x14ac:dyDescent="0.3">
      <c r="A30" s="6" t="s">
        <v>13</v>
      </c>
      <c r="B30">
        <v>3025.63</v>
      </c>
      <c r="C30">
        <v>4061.24</v>
      </c>
      <c r="D30">
        <v>4079.49</v>
      </c>
      <c r="E30">
        <v>4218.95</v>
      </c>
      <c r="F30">
        <v>4927.6099999999997</v>
      </c>
      <c r="G30">
        <v>5211.91</v>
      </c>
      <c r="H30">
        <v>4857.0200000000004</v>
      </c>
      <c r="I30">
        <v>6165.87</v>
      </c>
      <c r="J30">
        <v>6060.21</v>
      </c>
      <c r="K30">
        <v>7708.24</v>
      </c>
    </row>
    <row r="31" spans="1:12" s="6" customFormat="1" x14ac:dyDescent="0.3">
      <c r="A31" s="6" t="s">
        <v>56</v>
      </c>
      <c r="B31">
        <v>1446.85</v>
      </c>
      <c r="C31">
        <v>1591.54</v>
      </c>
      <c r="D31">
        <v>1591.54</v>
      </c>
      <c r="E31">
        <v>1736.22</v>
      </c>
      <c r="F31">
        <v>1736.22</v>
      </c>
      <c r="G31">
        <v>3472.44</v>
      </c>
      <c r="H31">
        <v>4051.18</v>
      </c>
      <c r="I31">
        <v>4051.18</v>
      </c>
      <c r="J31">
        <v>3961.44</v>
      </c>
      <c r="K31">
        <v>2233.44</v>
      </c>
    </row>
    <row r="32" spans="1:12" s="6" customFormat="1" x14ac:dyDescent="0.3"/>
    <row r="33" spans="1:11" x14ac:dyDescent="0.3">
      <c r="A33" s="6"/>
      <c r="I33" s="4">
        <f>SUM(I18:I22)</f>
        <v>26264.19</v>
      </c>
      <c r="J33" s="4">
        <f t="shared" ref="J33:K33" si="0">SUM(J18:J22)</f>
        <v>28676.16</v>
      </c>
      <c r="K33" s="4">
        <f t="shared" si="0"/>
        <v>34559.339999999997</v>
      </c>
    </row>
    <row r="34" spans="1:11" x14ac:dyDescent="0.3">
      <c r="A34" s="6"/>
      <c r="G34" s="4">
        <f t="shared" ref="G34:H34" si="1">SUM(G23:G24)</f>
        <v>1590.63</v>
      </c>
      <c r="H34" s="4">
        <f t="shared" si="1"/>
        <v>1209.1300000000001</v>
      </c>
      <c r="I34" s="4">
        <f>SUM(I23:I24)</f>
        <v>1245.8</v>
      </c>
      <c r="J34" s="4">
        <f t="shared" ref="J34:K34" si="2">SUM(J23:J24)</f>
        <v>1515.24</v>
      </c>
      <c r="K34" s="4">
        <f t="shared" si="2"/>
        <v>1699.0900000000001</v>
      </c>
    </row>
    <row r="35" spans="1:11" x14ac:dyDescent="0.3">
      <c r="A35" s="6"/>
    </row>
    <row r="36" spans="1:11" x14ac:dyDescent="0.3">
      <c r="A36" s="6"/>
    </row>
    <row r="37" spans="1:11" x14ac:dyDescent="0.3">
      <c r="A37" s="6"/>
    </row>
    <row r="38" spans="1:11" x14ac:dyDescent="0.3">
      <c r="A38" s="6"/>
    </row>
    <row r="39" spans="1:11" x14ac:dyDescent="0.3">
      <c r="A39" s="6"/>
    </row>
    <row r="40" spans="1:11" x14ac:dyDescent="0.3">
      <c r="A40" s="1" t="s">
        <v>37</v>
      </c>
    </row>
    <row r="41" spans="1:11" s="18" customFormat="1" x14ac:dyDescent="0.3">
      <c r="A41" s="17" t="s">
        <v>36</v>
      </c>
      <c r="B41" s="12">
        <v>44834</v>
      </c>
      <c r="C41" s="12">
        <v>44926</v>
      </c>
      <c r="D41" s="12">
        <v>45016</v>
      </c>
      <c r="E41" s="12">
        <v>45107</v>
      </c>
      <c r="F41" s="12">
        <v>45199</v>
      </c>
      <c r="G41" s="12">
        <v>45291</v>
      </c>
      <c r="H41" s="12">
        <v>45382</v>
      </c>
      <c r="I41" s="12">
        <v>45473</v>
      </c>
      <c r="J41" s="12">
        <v>45565</v>
      </c>
      <c r="K41" s="12">
        <v>45657</v>
      </c>
    </row>
    <row r="42" spans="1:11" s="6" customFormat="1" x14ac:dyDescent="0.3">
      <c r="A42" s="6" t="s">
        <v>5</v>
      </c>
      <c r="B42">
        <v>10202.709999999999</v>
      </c>
      <c r="C42">
        <v>9318.5400000000009</v>
      </c>
      <c r="D42">
        <v>8929.23</v>
      </c>
      <c r="E42">
        <v>10311.91</v>
      </c>
      <c r="F42">
        <v>10838.24</v>
      </c>
      <c r="G42">
        <v>12165.33</v>
      </c>
      <c r="H42">
        <v>11554.95</v>
      </c>
      <c r="I42">
        <v>11932.07</v>
      </c>
      <c r="J42">
        <v>13247.28</v>
      </c>
      <c r="K42">
        <v>13168.88</v>
      </c>
    </row>
    <row r="43" spans="1:11" s="6" customFormat="1" x14ac:dyDescent="0.3">
      <c r="A43" s="6" t="s">
        <v>6</v>
      </c>
      <c r="B43">
        <v>8453.07</v>
      </c>
      <c r="C43">
        <v>7561.25</v>
      </c>
      <c r="D43">
        <v>7272.02</v>
      </c>
      <c r="E43">
        <v>8379.64</v>
      </c>
      <c r="F43">
        <v>8708.11</v>
      </c>
      <c r="G43">
        <v>9750.43</v>
      </c>
      <c r="H43">
        <v>9270.69</v>
      </c>
      <c r="I43">
        <v>9561.6299999999992</v>
      </c>
      <c r="J43">
        <v>11174.05</v>
      </c>
      <c r="K43">
        <v>10418.049999999999</v>
      </c>
    </row>
    <row r="44" spans="1:11" s="6" customFormat="1" x14ac:dyDescent="0.3">
      <c r="A44" s="6" t="s">
        <v>8</v>
      </c>
      <c r="B44">
        <v>531.98</v>
      </c>
      <c r="C44">
        <v>270.52999999999997</v>
      </c>
      <c r="D44">
        <v>594.66</v>
      </c>
      <c r="E44">
        <v>351.1</v>
      </c>
      <c r="F44">
        <v>552.25</v>
      </c>
      <c r="G44">
        <v>356.33</v>
      </c>
      <c r="H44">
        <v>443.93</v>
      </c>
      <c r="I44">
        <v>335.32</v>
      </c>
      <c r="J44">
        <v>399.33</v>
      </c>
      <c r="K44">
        <v>347.53</v>
      </c>
    </row>
    <row r="45" spans="1:11" s="6" customFormat="1" x14ac:dyDescent="0.3">
      <c r="A45" s="6" t="s">
        <v>9</v>
      </c>
      <c r="B45">
        <v>67.48</v>
      </c>
      <c r="C45">
        <v>74.819999999999993</v>
      </c>
      <c r="D45">
        <v>75.989999999999995</v>
      </c>
      <c r="E45">
        <v>87.23</v>
      </c>
      <c r="F45">
        <v>91.82</v>
      </c>
      <c r="G45">
        <v>92.91</v>
      </c>
      <c r="H45">
        <v>92.81</v>
      </c>
      <c r="I45">
        <v>95.01</v>
      </c>
      <c r="J45">
        <v>98.27</v>
      </c>
      <c r="K45">
        <v>101.72</v>
      </c>
    </row>
    <row r="46" spans="1:11" s="6" customFormat="1" x14ac:dyDescent="0.3">
      <c r="A46" s="6" t="s">
        <v>10</v>
      </c>
      <c r="B46">
        <v>10.92</v>
      </c>
      <c r="C46">
        <v>8.48</v>
      </c>
      <c r="D46">
        <v>15.77</v>
      </c>
      <c r="E46">
        <v>12.09</v>
      </c>
      <c r="F46">
        <v>6.54</v>
      </c>
      <c r="G46">
        <v>12.1</v>
      </c>
      <c r="H46">
        <v>29.63</v>
      </c>
      <c r="I46">
        <v>46.97</v>
      </c>
      <c r="J46">
        <v>75.2</v>
      </c>
      <c r="K46">
        <v>120.21</v>
      </c>
    </row>
    <row r="47" spans="1:11" s="6" customFormat="1" x14ac:dyDescent="0.3">
      <c r="A47" s="6" t="s">
        <v>11</v>
      </c>
      <c r="B47">
        <v>2203.2199999999998</v>
      </c>
      <c r="C47">
        <v>1944.52</v>
      </c>
      <c r="D47">
        <v>2160.11</v>
      </c>
      <c r="E47">
        <v>2184.0500000000002</v>
      </c>
      <c r="F47">
        <v>2584.02</v>
      </c>
      <c r="G47">
        <v>2666.22</v>
      </c>
      <c r="H47">
        <v>2605.75</v>
      </c>
      <c r="I47">
        <v>2563.7800000000002</v>
      </c>
      <c r="J47">
        <v>2299.09</v>
      </c>
      <c r="K47">
        <v>2876.43</v>
      </c>
    </row>
    <row r="48" spans="1:11" s="6" customFormat="1" x14ac:dyDescent="0.3">
      <c r="A48" s="6" t="s">
        <v>12</v>
      </c>
      <c r="B48">
        <v>483.78</v>
      </c>
      <c r="C48">
        <v>471.82</v>
      </c>
      <c r="D48">
        <v>455.37</v>
      </c>
      <c r="E48">
        <v>539.91</v>
      </c>
      <c r="F48">
        <v>563.97</v>
      </c>
      <c r="G48">
        <v>633.6</v>
      </c>
      <c r="H48">
        <v>594.32000000000005</v>
      </c>
      <c r="I48">
        <v>621.99</v>
      </c>
      <c r="J48">
        <v>913.65</v>
      </c>
      <c r="K48">
        <v>680.78</v>
      </c>
    </row>
    <row r="49" spans="1:11" s="6" customFormat="1" x14ac:dyDescent="0.3">
      <c r="A49" s="6" t="s">
        <v>13</v>
      </c>
      <c r="B49">
        <v>1719.44</v>
      </c>
      <c r="C49">
        <v>1472.7</v>
      </c>
      <c r="D49">
        <v>1704.74</v>
      </c>
      <c r="E49">
        <v>1644.14</v>
      </c>
      <c r="F49">
        <v>2020.05</v>
      </c>
      <c r="G49">
        <v>2032.62</v>
      </c>
      <c r="H49">
        <v>2011.43</v>
      </c>
      <c r="I49">
        <v>1941.79</v>
      </c>
      <c r="J49">
        <v>1385.44</v>
      </c>
      <c r="K49">
        <v>2195.65</v>
      </c>
    </row>
    <row r="50" spans="1:11" x14ac:dyDescent="0.3">
      <c r="A50" s="6" t="s">
        <v>7</v>
      </c>
      <c r="B50">
        <v>1749.64</v>
      </c>
      <c r="C50">
        <v>1757.29</v>
      </c>
      <c r="D50">
        <v>1657.21</v>
      </c>
      <c r="E50">
        <v>1932.27</v>
      </c>
      <c r="F50">
        <v>2130.13</v>
      </c>
      <c r="G50">
        <v>2414.9</v>
      </c>
      <c r="H50">
        <v>2284.2600000000002</v>
      </c>
      <c r="I50">
        <v>2370.44</v>
      </c>
      <c r="J50">
        <v>2073.23</v>
      </c>
      <c r="K50">
        <v>2750.83</v>
      </c>
    </row>
    <row r="51" spans="1:11" x14ac:dyDescent="0.3">
      <c r="A51" s="6"/>
    </row>
    <row r="52" spans="1:11" x14ac:dyDescent="0.3">
      <c r="A52" s="6"/>
    </row>
    <row r="53" spans="1:11" x14ac:dyDescent="0.3">
      <c r="A53" s="6"/>
    </row>
    <row r="54" spans="1:11" x14ac:dyDescent="0.3">
      <c r="A54" s="6"/>
    </row>
    <row r="55" spans="1:11" x14ac:dyDescent="0.3">
      <c r="A55" s="1" t="s">
        <v>38</v>
      </c>
    </row>
    <row r="56" spans="1:11" s="18" customFormat="1" x14ac:dyDescent="0.3">
      <c r="A56" s="17" t="s">
        <v>36</v>
      </c>
      <c r="B56" s="12">
        <v>42094</v>
      </c>
      <c r="C56" s="12">
        <v>42460</v>
      </c>
      <c r="D56" s="12">
        <v>42825</v>
      </c>
      <c r="E56" s="12">
        <v>43190</v>
      </c>
      <c r="F56" s="12">
        <v>43555</v>
      </c>
      <c r="G56" s="12">
        <v>43921</v>
      </c>
      <c r="H56" s="12">
        <v>44286</v>
      </c>
      <c r="I56" s="12">
        <v>44651</v>
      </c>
      <c r="J56" s="12">
        <v>45016</v>
      </c>
      <c r="K56" s="12">
        <v>45382</v>
      </c>
    </row>
    <row r="57" spans="1:11" x14ac:dyDescent="0.3">
      <c r="A57" s="6" t="s">
        <v>23</v>
      </c>
      <c r="B57">
        <v>289.37</v>
      </c>
      <c r="C57">
        <v>289.37</v>
      </c>
      <c r="D57">
        <v>289.37</v>
      </c>
      <c r="E57">
        <v>289.37</v>
      </c>
      <c r="F57">
        <v>289.37</v>
      </c>
      <c r="G57">
        <v>289.37</v>
      </c>
      <c r="H57">
        <v>289.37</v>
      </c>
      <c r="I57">
        <v>289.37</v>
      </c>
      <c r="J57">
        <v>282.95999999999998</v>
      </c>
      <c r="K57">
        <v>279.18</v>
      </c>
    </row>
    <row r="58" spans="1:11" x14ac:dyDescent="0.3">
      <c r="A58" s="6" t="s">
        <v>24</v>
      </c>
      <c r="B58">
        <v>10805.95</v>
      </c>
      <c r="C58">
        <v>13730.94</v>
      </c>
      <c r="D58">
        <v>17567.2</v>
      </c>
      <c r="E58">
        <v>20135.87</v>
      </c>
      <c r="F58">
        <v>22944.44</v>
      </c>
      <c r="G58">
        <v>21372.71</v>
      </c>
      <c r="H58">
        <v>26984.06</v>
      </c>
      <c r="I58">
        <v>29570.28</v>
      </c>
      <c r="J58">
        <v>29078.58</v>
      </c>
      <c r="K58">
        <v>28683.23</v>
      </c>
    </row>
    <row r="59" spans="1:11" x14ac:dyDescent="0.3">
      <c r="A59" s="6" t="s">
        <v>57</v>
      </c>
      <c r="B59">
        <v>112.35</v>
      </c>
      <c r="C59">
        <v>117.86</v>
      </c>
      <c r="D59">
        <v>119.9</v>
      </c>
      <c r="E59">
        <v>120.77</v>
      </c>
      <c r="F59">
        <v>124.52</v>
      </c>
      <c r="G59">
        <v>125.59</v>
      </c>
      <c r="H59">
        <v>121.46</v>
      </c>
      <c r="I59">
        <v>122.77</v>
      </c>
      <c r="J59">
        <v>124.23</v>
      </c>
      <c r="K59">
        <v>1911.74</v>
      </c>
    </row>
    <row r="60" spans="1:11" x14ac:dyDescent="0.3">
      <c r="A60" s="6" t="s">
        <v>58</v>
      </c>
      <c r="B60">
        <v>4757.93</v>
      </c>
      <c r="C60">
        <v>3102.2</v>
      </c>
      <c r="D60">
        <v>3661.15</v>
      </c>
      <c r="E60">
        <v>4594.99</v>
      </c>
      <c r="F60">
        <v>5476.08</v>
      </c>
      <c r="G60">
        <v>4722.3500000000004</v>
      </c>
      <c r="H60">
        <v>6206.82</v>
      </c>
      <c r="I60">
        <v>5128.79</v>
      </c>
      <c r="J60">
        <v>5650.68</v>
      </c>
      <c r="K60">
        <v>8469.5400000000009</v>
      </c>
    </row>
    <row r="61" spans="1:11" s="1" customFormat="1" x14ac:dyDescent="0.3">
      <c r="A61" s="1" t="s">
        <v>25</v>
      </c>
      <c r="B61">
        <v>15965.6</v>
      </c>
      <c r="C61">
        <v>17240.37</v>
      </c>
      <c r="D61">
        <v>21637.62</v>
      </c>
      <c r="E61">
        <v>25141</v>
      </c>
      <c r="F61">
        <v>28834.41</v>
      </c>
      <c r="G61">
        <v>26510.02</v>
      </c>
      <c r="H61">
        <v>33601.71</v>
      </c>
      <c r="I61">
        <v>35111.21</v>
      </c>
      <c r="J61">
        <v>35136.449999999997</v>
      </c>
      <c r="K61">
        <v>39343.69</v>
      </c>
    </row>
    <row r="62" spans="1:11" x14ac:dyDescent="0.3">
      <c r="A62" s="6" t="s">
        <v>26</v>
      </c>
      <c r="B62">
        <v>2448.0300000000002</v>
      </c>
      <c r="C62">
        <v>2025.67</v>
      </c>
      <c r="D62">
        <v>2001.79</v>
      </c>
      <c r="E62">
        <v>1878.33</v>
      </c>
      <c r="F62">
        <v>1763.94</v>
      </c>
      <c r="G62">
        <v>1699.02</v>
      </c>
      <c r="H62">
        <v>1667.55</v>
      </c>
      <c r="I62">
        <v>1836.05</v>
      </c>
      <c r="J62">
        <v>2842.24</v>
      </c>
      <c r="K62">
        <v>3217.37</v>
      </c>
    </row>
    <row r="63" spans="1:11" x14ac:dyDescent="0.3">
      <c r="A63" s="6" t="s">
        <v>27</v>
      </c>
      <c r="B63">
        <v>254.94</v>
      </c>
      <c r="C63">
        <v>52.24</v>
      </c>
      <c r="D63">
        <v>42.17</v>
      </c>
      <c r="E63">
        <v>56.47</v>
      </c>
      <c r="F63">
        <v>48.02</v>
      </c>
      <c r="G63">
        <v>60.19</v>
      </c>
      <c r="H63">
        <v>15.98</v>
      </c>
      <c r="I63">
        <v>77.209999999999994</v>
      </c>
      <c r="J63">
        <v>85.27</v>
      </c>
      <c r="K63">
        <v>35.1</v>
      </c>
    </row>
    <row r="64" spans="1:11" x14ac:dyDescent="0.3">
      <c r="A64" s="6" t="s">
        <v>28</v>
      </c>
      <c r="B64">
        <v>8985.25</v>
      </c>
      <c r="C64">
        <v>11067.23</v>
      </c>
      <c r="D64">
        <v>15477.04</v>
      </c>
      <c r="E64">
        <v>18894.57</v>
      </c>
      <c r="F64">
        <v>20602.849999999999</v>
      </c>
      <c r="G64">
        <v>19913.580000000002</v>
      </c>
      <c r="H64">
        <v>24686.65</v>
      </c>
      <c r="I64">
        <v>26634.12</v>
      </c>
      <c r="J64">
        <v>26182.91</v>
      </c>
      <c r="K64">
        <v>28086.68</v>
      </c>
    </row>
    <row r="65" spans="1:11" x14ac:dyDescent="0.3">
      <c r="A65" s="6" t="s">
        <v>59</v>
      </c>
      <c r="B65">
        <v>4277.38</v>
      </c>
      <c r="C65">
        <v>4095.23</v>
      </c>
      <c r="D65">
        <v>4116.62</v>
      </c>
      <c r="E65">
        <v>4311.63</v>
      </c>
      <c r="F65">
        <v>6419.6</v>
      </c>
      <c r="G65">
        <v>4837.2299999999996</v>
      </c>
      <c r="H65">
        <v>7231.53</v>
      </c>
      <c r="I65">
        <v>6563.83</v>
      </c>
      <c r="J65">
        <v>6026.03</v>
      </c>
      <c r="K65">
        <v>8004.54</v>
      </c>
    </row>
    <row r="66" spans="1:11" s="1" customFormat="1" x14ac:dyDescent="0.3">
      <c r="A66" s="1" t="s">
        <v>25</v>
      </c>
      <c r="B66">
        <v>15965.6</v>
      </c>
      <c r="C66">
        <v>17240.37</v>
      </c>
      <c r="D66">
        <v>21637.62</v>
      </c>
      <c r="E66">
        <v>25141</v>
      </c>
      <c r="F66">
        <v>28834.41</v>
      </c>
      <c r="G66">
        <v>26510.02</v>
      </c>
      <c r="H66">
        <v>33601.71</v>
      </c>
      <c r="I66">
        <v>35111.21</v>
      </c>
      <c r="J66">
        <v>35136.449999999997</v>
      </c>
      <c r="K66">
        <v>39343.69</v>
      </c>
    </row>
    <row r="67" spans="1:11" s="6" customFormat="1" x14ac:dyDescent="0.3">
      <c r="A67" s="6" t="s">
        <v>64</v>
      </c>
      <c r="B67">
        <v>716.96</v>
      </c>
      <c r="C67">
        <v>717.93</v>
      </c>
      <c r="D67">
        <v>953.29</v>
      </c>
      <c r="E67">
        <v>1491.87</v>
      </c>
      <c r="F67">
        <v>2559.69</v>
      </c>
      <c r="G67">
        <v>1725.1</v>
      </c>
      <c r="H67">
        <v>2716.85</v>
      </c>
      <c r="I67">
        <v>1516.38</v>
      </c>
      <c r="J67">
        <v>1752.43</v>
      </c>
      <c r="K67">
        <v>2075.5300000000002</v>
      </c>
    </row>
    <row r="68" spans="1:11" x14ac:dyDescent="0.3">
      <c r="A68" s="6" t="s">
        <v>43</v>
      </c>
      <c r="B68">
        <v>814.15</v>
      </c>
      <c r="C68">
        <v>719.07</v>
      </c>
      <c r="D68">
        <v>728.38</v>
      </c>
      <c r="E68">
        <v>742.58</v>
      </c>
      <c r="F68">
        <v>961.51</v>
      </c>
      <c r="G68">
        <v>1063.5</v>
      </c>
      <c r="H68">
        <v>1493.89</v>
      </c>
      <c r="I68">
        <v>1230.51</v>
      </c>
      <c r="J68">
        <v>1563.55</v>
      </c>
      <c r="K68">
        <v>1688.75</v>
      </c>
    </row>
    <row r="69" spans="1:11" x14ac:dyDescent="0.3">
      <c r="A69" s="4" t="s">
        <v>73</v>
      </c>
      <c r="B69">
        <v>592.74</v>
      </c>
      <c r="C69">
        <v>867.03</v>
      </c>
      <c r="D69">
        <v>301.36</v>
      </c>
      <c r="E69">
        <v>792.66</v>
      </c>
      <c r="F69">
        <v>933.07</v>
      </c>
      <c r="G69">
        <v>316.33999999999997</v>
      </c>
      <c r="H69">
        <v>538.84</v>
      </c>
      <c r="I69">
        <v>958.06</v>
      </c>
      <c r="J69">
        <v>690.48</v>
      </c>
      <c r="K69">
        <v>955.32</v>
      </c>
    </row>
    <row r="70" spans="1:11" x14ac:dyDescent="0.3">
      <c r="A70" s="4" t="s">
        <v>60</v>
      </c>
      <c r="B70">
        <v>289367020</v>
      </c>
      <c r="C70">
        <v>289367020</v>
      </c>
      <c r="D70">
        <v>289367020</v>
      </c>
      <c r="E70">
        <v>289367020</v>
      </c>
      <c r="F70">
        <v>289367020</v>
      </c>
      <c r="G70">
        <v>289367020</v>
      </c>
      <c r="H70">
        <v>289367020</v>
      </c>
      <c r="I70">
        <v>289367020</v>
      </c>
      <c r="J70">
        <v>282957358</v>
      </c>
      <c r="K70">
        <v>279179756</v>
      </c>
    </row>
    <row r="71" spans="1:11" x14ac:dyDescent="0.3">
      <c r="A71" s="4" t="s">
        <v>61</v>
      </c>
    </row>
    <row r="72" spans="1:11" x14ac:dyDescent="0.3">
      <c r="A72" s="4" t="s">
        <v>74</v>
      </c>
      <c r="B72">
        <v>10</v>
      </c>
      <c r="C72">
        <v>10</v>
      </c>
      <c r="D72">
        <v>10</v>
      </c>
      <c r="E72">
        <v>10</v>
      </c>
      <c r="F72">
        <v>10</v>
      </c>
      <c r="G72">
        <v>10</v>
      </c>
      <c r="H72">
        <v>10</v>
      </c>
      <c r="I72">
        <v>10</v>
      </c>
      <c r="J72">
        <v>10</v>
      </c>
      <c r="K72">
        <v>10</v>
      </c>
    </row>
    <row r="74" spans="1:11" x14ac:dyDescent="0.3">
      <c r="A74" s="6"/>
    </row>
    <row r="75" spans="1:11" x14ac:dyDescent="0.3">
      <c r="A75" s="6"/>
    </row>
    <row r="76" spans="1:11" x14ac:dyDescent="0.3">
      <c r="A76" s="6"/>
    </row>
    <row r="77" spans="1:11" x14ac:dyDescent="0.3">
      <c r="A77" s="6"/>
    </row>
    <row r="78" spans="1:11" x14ac:dyDescent="0.3">
      <c r="A78" s="6"/>
    </row>
    <row r="79" spans="1:11" x14ac:dyDescent="0.3">
      <c r="A79" s="6"/>
    </row>
    <row r="80" spans="1:11" x14ac:dyDescent="0.3">
      <c r="A80" s="1" t="s">
        <v>39</v>
      </c>
    </row>
    <row r="81" spans="1:11" s="18" customFormat="1" x14ac:dyDescent="0.3">
      <c r="A81" s="17" t="s">
        <v>36</v>
      </c>
      <c r="B81" s="12">
        <v>42094</v>
      </c>
      <c r="C81" s="12">
        <v>42460</v>
      </c>
      <c r="D81" s="12">
        <v>42825</v>
      </c>
      <c r="E81" s="12">
        <v>43190</v>
      </c>
      <c r="F81" s="12">
        <v>43555</v>
      </c>
      <c r="G81" s="12">
        <v>43921</v>
      </c>
      <c r="H81" s="12">
        <v>44286</v>
      </c>
      <c r="I81" s="12">
        <v>44651</v>
      </c>
      <c r="J81" s="12">
        <v>45016</v>
      </c>
      <c r="K81" s="12">
        <v>45382</v>
      </c>
    </row>
    <row r="82" spans="1:11" s="1" customFormat="1" x14ac:dyDescent="0.3">
      <c r="A82" s="6" t="s">
        <v>31</v>
      </c>
      <c r="B82">
        <v>2113.8000000000002</v>
      </c>
      <c r="C82">
        <v>3689.85</v>
      </c>
      <c r="D82">
        <v>3267.36</v>
      </c>
      <c r="E82">
        <v>4327.84</v>
      </c>
      <c r="F82">
        <v>2486.86</v>
      </c>
      <c r="G82">
        <v>3850.44</v>
      </c>
      <c r="H82">
        <v>3119.88</v>
      </c>
      <c r="I82">
        <v>4197.21</v>
      </c>
      <c r="J82">
        <v>5277.42</v>
      </c>
      <c r="K82">
        <v>6558.16</v>
      </c>
    </row>
    <row r="83" spans="1:11" s="6" customFormat="1" x14ac:dyDescent="0.3">
      <c r="A83" s="6" t="s">
        <v>32</v>
      </c>
      <c r="B83">
        <v>-379.66</v>
      </c>
      <c r="C83">
        <v>-67.52</v>
      </c>
      <c r="D83">
        <v>-3609.68</v>
      </c>
      <c r="E83">
        <v>-1954.48</v>
      </c>
      <c r="F83">
        <v>-272.77</v>
      </c>
      <c r="G83">
        <v>1765.83</v>
      </c>
      <c r="H83">
        <v>-2869.15</v>
      </c>
      <c r="I83">
        <v>276.2</v>
      </c>
      <c r="J83">
        <v>1211.21</v>
      </c>
      <c r="K83">
        <v>-71.97</v>
      </c>
    </row>
    <row r="84" spans="1:11" s="6" customFormat="1" x14ac:dyDescent="0.3">
      <c r="A84" s="6" t="s">
        <v>33</v>
      </c>
      <c r="B84">
        <v>-1644.18</v>
      </c>
      <c r="C84">
        <v>-3384.08</v>
      </c>
      <c r="D84">
        <v>-190.09</v>
      </c>
      <c r="E84">
        <v>-1885.26</v>
      </c>
      <c r="F84">
        <v>-2074.0500000000002</v>
      </c>
      <c r="G84">
        <v>-6246.51</v>
      </c>
      <c r="H84">
        <v>-19.52</v>
      </c>
      <c r="I84">
        <v>-4056.33</v>
      </c>
      <c r="J84">
        <v>-7180.7</v>
      </c>
      <c r="K84">
        <v>-6167.36</v>
      </c>
    </row>
    <row r="85" spans="1:11" s="1" customFormat="1" x14ac:dyDescent="0.3">
      <c r="A85" s="6" t="s">
        <v>34</v>
      </c>
      <c r="B85">
        <v>89.96</v>
      </c>
      <c r="C85">
        <v>238.25</v>
      </c>
      <c r="D85">
        <v>-532.41</v>
      </c>
      <c r="E85">
        <v>488.1</v>
      </c>
      <c r="F85">
        <v>140.04</v>
      </c>
      <c r="G85">
        <v>-630.24</v>
      </c>
      <c r="H85">
        <v>231.21</v>
      </c>
      <c r="I85">
        <v>417.08</v>
      </c>
      <c r="J85">
        <v>-692.07</v>
      </c>
      <c r="K85">
        <v>318.83</v>
      </c>
    </row>
    <row r="86" spans="1:11" x14ac:dyDescent="0.3">
      <c r="A86" s="6"/>
    </row>
    <row r="87" spans="1:11" x14ac:dyDescent="0.3">
      <c r="A87" s="6"/>
    </row>
    <row r="88" spans="1:11" x14ac:dyDescent="0.3">
      <c r="A88" s="6"/>
    </row>
    <row r="89" spans="1:11" x14ac:dyDescent="0.3">
      <c r="A89" s="6"/>
    </row>
    <row r="90" spans="1:11" s="1" customFormat="1" x14ac:dyDescent="0.3">
      <c r="A90" s="1" t="s">
        <v>63</v>
      </c>
      <c r="B90">
        <v>2016.6</v>
      </c>
      <c r="C90">
        <v>2405.9499999999998</v>
      </c>
      <c r="D90">
        <v>2805.45</v>
      </c>
      <c r="E90">
        <v>2744.7</v>
      </c>
      <c r="F90">
        <v>2911.1</v>
      </c>
      <c r="G90">
        <v>2022.35</v>
      </c>
      <c r="H90">
        <v>3670.6</v>
      </c>
      <c r="I90">
        <v>3653</v>
      </c>
      <c r="J90">
        <v>3884.75</v>
      </c>
      <c r="K90">
        <v>9148.15</v>
      </c>
    </row>
    <row r="92" spans="1:11" s="1" customFormat="1" x14ac:dyDescent="0.3">
      <c r="A92" s="1" t="s">
        <v>62</v>
      </c>
    </row>
    <row r="93" spans="1:11" x14ac:dyDescent="0.3">
      <c r="A93" s="4" t="s">
        <v>75</v>
      </c>
      <c r="B93" s="20">
        <v>28.94</v>
      </c>
      <c r="C93" s="20">
        <v>28.94</v>
      </c>
      <c r="D93" s="20">
        <v>28.94</v>
      </c>
      <c r="E93" s="20">
        <v>28.94</v>
      </c>
      <c r="F93" s="20">
        <v>28.94</v>
      </c>
      <c r="G93" s="20">
        <v>28.94</v>
      </c>
      <c r="H93" s="20">
        <v>28.94</v>
      </c>
      <c r="I93" s="20">
        <v>28.94</v>
      </c>
      <c r="J93" s="20">
        <v>28.3</v>
      </c>
      <c r="K93" s="20">
        <v>27.92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52072-05ED-47B4-863E-B5F004AD8766}">
  <dimension ref="A1:AA60"/>
  <sheetViews>
    <sheetView topLeftCell="A39" zoomScale="87" workbookViewId="0">
      <selection activeCell="D5" sqref="D5"/>
    </sheetView>
  </sheetViews>
  <sheetFormatPr defaultRowHeight="14.4" x14ac:dyDescent="0.3"/>
  <cols>
    <col min="1" max="13" width="11.88671875" customWidth="1"/>
    <col min="14" max="14" width="9.5546875" bestFit="1" customWidth="1"/>
  </cols>
  <sheetData>
    <row r="1" spans="1:27" ht="15" thickBot="1" x14ac:dyDescent="0.35">
      <c r="A1" s="21" t="s">
        <v>76</v>
      </c>
      <c r="B1" s="22"/>
      <c r="C1" s="23"/>
      <c r="D1" s="23"/>
      <c r="E1" s="23"/>
      <c r="F1" s="23"/>
      <c r="G1" s="23"/>
      <c r="H1" s="23"/>
      <c r="I1" s="23"/>
      <c r="J1" s="23"/>
      <c r="K1" s="23"/>
      <c r="L1" s="24"/>
      <c r="M1" s="23"/>
      <c r="N1" s="25"/>
    </row>
    <row r="2" spans="1:27" x14ac:dyDescent="0.3">
      <c r="A2" s="26" t="s">
        <v>77</v>
      </c>
      <c r="B2" s="27"/>
      <c r="C2" s="28"/>
      <c r="D2" s="29"/>
      <c r="E2" s="30"/>
      <c r="F2" s="30"/>
      <c r="G2" s="30"/>
      <c r="H2" s="30"/>
      <c r="I2" s="30"/>
      <c r="J2" s="30"/>
      <c r="K2" s="30"/>
      <c r="L2" s="30"/>
      <c r="M2" s="30"/>
      <c r="N2" s="31"/>
    </row>
    <row r="3" spans="1:27" x14ac:dyDescent="0.3">
      <c r="A3" s="26"/>
      <c r="B3" s="27"/>
      <c r="C3" s="28"/>
      <c r="D3" s="32" t="s">
        <v>78</v>
      </c>
      <c r="E3" s="33"/>
      <c r="F3" s="33"/>
      <c r="G3" s="34"/>
      <c r="H3" s="35"/>
      <c r="I3" s="232" t="s">
        <v>79</v>
      </c>
      <c r="J3" s="232"/>
      <c r="K3" s="232"/>
      <c r="L3" s="232"/>
      <c r="M3" s="233"/>
      <c r="N3" s="36"/>
    </row>
    <row r="4" spans="1:27" x14ac:dyDescent="0.3">
      <c r="A4" s="28"/>
      <c r="B4" s="28"/>
      <c r="C4" s="28"/>
      <c r="D4" s="37">
        <f>+E4-1</f>
        <v>2022</v>
      </c>
      <c r="E4" s="37">
        <v>2023</v>
      </c>
      <c r="F4" s="37">
        <v>2024</v>
      </c>
      <c r="G4" s="38" t="s">
        <v>134</v>
      </c>
      <c r="H4" s="37">
        <v>2025</v>
      </c>
      <c r="I4" s="37">
        <v>2026</v>
      </c>
      <c r="J4" s="39">
        <v>2027</v>
      </c>
      <c r="K4" s="37">
        <v>2028</v>
      </c>
      <c r="L4" s="39">
        <v>2029</v>
      </c>
      <c r="M4" s="37">
        <v>2030</v>
      </c>
      <c r="N4" s="36"/>
    </row>
    <row r="5" spans="1:27" x14ac:dyDescent="0.3">
      <c r="A5" s="28" t="s">
        <v>5</v>
      </c>
      <c r="B5" s="28"/>
      <c r="C5" s="28"/>
      <c r="D5" s="40">
        <f>'Profit &amp; Loss'!I4</f>
        <v>33144.71</v>
      </c>
      <c r="E5" s="40">
        <f>'Profit &amp; Loss'!J4</f>
        <v>36455.379999999997</v>
      </c>
      <c r="F5" s="40">
        <f>'Profit &amp; Loss'!K4</f>
        <v>44870.43</v>
      </c>
      <c r="G5" s="40"/>
      <c r="H5" s="40">
        <f>F5*(1+H6)</f>
        <v>48460.064400000003</v>
      </c>
      <c r="I5" s="40">
        <f>H5*(1+I6)</f>
        <v>52336.869552000004</v>
      </c>
      <c r="J5" s="40">
        <f t="shared" ref="J5:M5" si="0">I5*(1+J6)</f>
        <v>56523.819116160004</v>
      </c>
      <c r="K5" s="40">
        <f t="shared" si="0"/>
        <v>61045.724645452807</v>
      </c>
      <c r="L5" s="40">
        <f t="shared" si="0"/>
        <v>65929.382617089039</v>
      </c>
      <c r="M5" s="40">
        <f t="shared" si="0"/>
        <v>71203.73322645617</v>
      </c>
      <c r="N5" s="41"/>
    </row>
    <row r="6" spans="1:27" x14ac:dyDescent="0.3">
      <c r="A6" s="42" t="s">
        <v>80</v>
      </c>
      <c r="B6" s="29"/>
      <c r="C6" s="29"/>
      <c r="D6" s="43"/>
      <c r="E6" s="44">
        <f>(E5-D5)/D5</f>
        <v>9.9885321066317923E-2</v>
      </c>
      <c r="F6" s="44">
        <f>(F5-E5)/E5</f>
        <v>0.23083149867042954</v>
      </c>
      <c r="G6" s="45">
        <v>0.08</v>
      </c>
      <c r="H6" s="44">
        <f>G6</f>
        <v>0.08</v>
      </c>
      <c r="I6" s="44">
        <f>H6</f>
        <v>0.08</v>
      </c>
      <c r="J6" s="44">
        <f t="shared" ref="J6:M6" si="1">I6</f>
        <v>0.08</v>
      </c>
      <c r="K6" s="44">
        <f t="shared" si="1"/>
        <v>0.08</v>
      </c>
      <c r="L6" s="44">
        <f t="shared" si="1"/>
        <v>0.08</v>
      </c>
      <c r="M6" s="44">
        <f t="shared" si="1"/>
        <v>0.08</v>
      </c>
      <c r="N6" s="46"/>
    </row>
    <row r="7" spans="1:27" x14ac:dyDescent="0.3">
      <c r="A7" s="29" t="s">
        <v>81</v>
      </c>
      <c r="B7" s="30"/>
      <c r="C7" s="47">
        <v>0.8</v>
      </c>
      <c r="D7" s="40">
        <f>'Data Sheet'!I33</f>
        <v>26264.19</v>
      </c>
      <c r="E7" s="40">
        <f>'Data Sheet'!J33</f>
        <v>28676.16</v>
      </c>
      <c r="F7" s="40">
        <f>'Data Sheet'!K33</f>
        <v>34559.339999999997</v>
      </c>
      <c r="G7" s="40"/>
      <c r="H7" s="40">
        <f>H5*0.8</f>
        <v>38768.051520000001</v>
      </c>
      <c r="I7" s="40">
        <f t="shared" ref="I7:M7" si="2">I5*0.8</f>
        <v>41869.495641600006</v>
      </c>
      <c r="J7" s="40">
        <f t="shared" si="2"/>
        <v>45219.055292928009</v>
      </c>
      <c r="K7" s="40">
        <f t="shared" si="2"/>
        <v>48836.579716362248</v>
      </c>
      <c r="L7" s="40">
        <f t="shared" si="2"/>
        <v>52743.506093671233</v>
      </c>
      <c r="M7" s="40">
        <f t="shared" si="2"/>
        <v>56962.986581164936</v>
      </c>
      <c r="N7" s="41"/>
    </row>
    <row r="8" spans="1:27" x14ac:dyDescent="0.3">
      <c r="A8" s="48" t="s">
        <v>82</v>
      </c>
      <c r="B8" s="30"/>
      <c r="C8" s="30"/>
      <c r="D8" s="49">
        <f>+D5-D7</f>
        <v>6880.52</v>
      </c>
      <c r="E8" s="49">
        <f>+E5-E7</f>
        <v>7779.2199999999975</v>
      </c>
      <c r="F8" s="49">
        <f>+F5-F7</f>
        <v>10311.090000000004</v>
      </c>
      <c r="G8" s="50"/>
      <c r="H8" s="49">
        <f t="shared" ref="H8:M8" si="3">+H5-H7</f>
        <v>9692.012880000002</v>
      </c>
      <c r="I8" s="49">
        <f t="shared" si="3"/>
        <v>10467.373910399998</v>
      </c>
      <c r="J8" s="49">
        <f t="shared" si="3"/>
        <v>11304.763823231995</v>
      </c>
      <c r="K8" s="49">
        <f t="shared" si="3"/>
        <v>12209.144929090558</v>
      </c>
      <c r="L8" s="49">
        <f t="shared" si="3"/>
        <v>13185.876523417806</v>
      </c>
      <c r="M8" s="49">
        <f t="shared" si="3"/>
        <v>14240.746645291234</v>
      </c>
      <c r="N8" s="41"/>
    </row>
    <row r="9" spans="1:27" x14ac:dyDescent="0.3">
      <c r="A9" s="42" t="s">
        <v>83</v>
      </c>
      <c r="B9" s="29"/>
      <c r="C9" s="29"/>
      <c r="D9" s="44">
        <f>D8/D5</f>
        <v>0.20759029118070427</v>
      </c>
      <c r="E9" s="44">
        <f t="shared" ref="E9:F9" si="4">E8/E5</f>
        <v>0.21339017725230125</v>
      </c>
      <c r="F9" s="44">
        <f t="shared" si="4"/>
        <v>0.22979699548232552</v>
      </c>
      <c r="G9" s="50"/>
      <c r="H9" s="44">
        <f>H8/H5</f>
        <v>0.20000000000000004</v>
      </c>
      <c r="I9" s="44">
        <f t="shared" ref="I9:M9" si="5">I8/I5</f>
        <v>0.19999999999999996</v>
      </c>
      <c r="J9" s="44">
        <f t="shared" si="5"/>
        <v>0.1999999999999999</v>
      </c>
      <c r="K9" s="44">
        <f t="shared" si="5"/>
        <v>0.19999999999999996</v>
      </c>
      <c r="L9" s="44">
        <f t="shared" si="5"/>
        <v>0.19999999999999998</v>
      </c>
      <c r="M9" s="44">
        <f t="shared" si="5"/>
        <v>0.2</v>
      </c>
      <c r="N9" s="51"/>
    </row>
    <row r="10" spans="1:27" x14ac:dyDescent="0.3">
      <c r="A10" s="29" t="s">
        <v>84</v>
      </c>
      <c r="B10" s="30"/>
      <c r="C10" s="47">
        <v>0.04</v>
      </c>
      <c r="D10" s="40">
        <f>'Data Sheet'!I34</f>
        <v>1245.8</v>
      </c>
      <c r="E10" s="40">
        <f>'Data Sheet'!J34</f>
        <v>1515.24</v>
      </c>
      <c r="F10" s="40">
        <f>'Data Sheet'!K34</f>
        <v>1699.0900000000001</v>
      </c>
      <c r="G10" s="50"/>
      <c r="H10" s="40">
        <f>H5*0.04</f>
        <v>1938.4025760000002</v>
      </c>
      <c r="I10" s="40">
        <f t="shared" ref="I10:M10" si="6">I5*0.04</f>
        <v>2093.4747820800003</v>
      </c>
      <c r="J10" s="40">
        <f t="shared" si="6"/>
        <v>2260.9527646464003</v>
      </c>
      <c r="K10" s="40">
        <f>K5*0.04</f>
        <v>2441.8289858181124</v>
      </c>
      <c r="L10" s="40">
        <f t="shared" si="6"/>
        <v>2637.1753046835615</v>
      </c>
      <c r="M10" s="40">
        <f t="shared" si="6"/>
        <v>2848.1493290582471</v>
      </c>
      <c r="N10" s="41"/>
    </row>
    <row r="11" spans="1:27" x14ac:dyDescent="0.3">
      <c r="A11" s="28" t="s">
        <v>85</v>
      </c>
      <c r="B11" s="28"/>
      <c r="C11" s="28"/>
      <c r="D11" s="49">
        <f>D8-D10</f>
        <v>5634.72</v>
      </c>
      <c r="E11" s="49">
        <f>E8-E10</f>
        <v>6263.9799999999977</v>
      </c>
      <c r="F11" s="49">
        <f>F8-F10</f>
        <v>8612.0000000000036</v>
      </c>
      <c r="G11" s="50"/>
      <c r="H11" s="49">
        <f t="shared" ref="H11:M11" si="7">H8-H10</f>
        <v>7753.6103040000016</v>
      </c>
      <c r="I11" s="49">
        <f t="shared" si="7"/>
        <v>8373.8991283199975</v>
      </c>
      <c r="J11" s="49">
        <f t="shared" si="7"/>
        <v>9043.8110585855939</v>
      </c>
      <c r="K11" s="49">
        <f t="shared" si="7"/>
        <v>9767.315943272446</v>
      </c>
      <c r="L11" s="49">
        <f t="shared" si="7"/>
        <v>10548.701218734244</v>
      </c>
      <c r="M11" s="49">
        <f t="shared" si="7"/>
        <v>11392.597316232986</v>
      </c>
      <c r="N11" s="41"/>
    </row>
    <row r="12" spans="1:27" x14ac:dyDescent="0.3">
      <c r="A12" s="42" t="s">
        <v>83</v>
      </c>
      <c r="B12" s="29"/>
      <c r="C12" s="29"/>
      <c r="D12" s="44">
        <f>D11/D5</f>
        <v>0.17000359936774226</v>
      </c>
      <c r="E12" s="44">
        <f t="shared" ref="E12:F12" si="8">E11/E5</f>
        <v>0.17182594174028629</v>
      </c>
      <c r="F12" s="44">
        <f t="shared" si="8"/>
        <v>0.19193040940325296</v>
      </c>
      <c r="G12" s="50"/>
      <c r="H12" s="44">
        <f>H11/H5</f>
        <v>0.16000000000000003</v>
      </c>
      <c r="I12" s="44">
        <f t="shared" ref="I12:M12" si="9">I11/I5</f>
        <v>0.15999999999999995</v>
      </c>
      <c r="J12" s="44">
        <f t="shared" si="9"/>
        <v>0.15999999999999989</v>
      </c>
      <c r="K12" s="44">
        <f t="shared" si="9"/>
        <v>0.15999999999999995</v>
      </c>
      <c r="L12" s="44">
        <f t="shared" si="9"/>
        <v>0.15999999999999998</v>
      </c>
      <c r="M12" s="44">
        <f t="shared" si="9"/>
        <v>0.16</v>
      </c>
      <c r="N12" s="51"/>
    </row>
    <row r="13" spans="1:27" x14ac:dyDescent="0.3">
      <c r="A13" s="52" t="s">
        <v>86</v>
      </c>
      <c r="B13" s="29"/>
      <c r="C13" s="29"/>
      <c r="D13" s="49">
        <f>'Profit &amp; Loss'!I8</f>
        <v>269.76</v>
      </c>
      <c r="E13" s="49">
        <f>'Profit &amp; Loss'!J8</f>
        <v>285.85000000000002</v>
      </c>
      <c r="F13" s="49">
        <f>'Profit &amp; Loss'!K8</f>
        <v>364.77</v>
      </c>
      <c r="G13" s="50"/>
      <c r="H13" s="49">
        <f>'Data Sheet'!L26</f>
        <v>286.66714285714289</v>
      </c>
      <c r="I13" s="49">
        <f>H13</f>
        <v>286.66714285714289</v>
      </c>
      <c r="J13" s="49">
        <f t="shared" ref="J13:M13" si="10">I13</f>
        <v>286.66714285714289</v>
      </c>
      <c r="K13" s="49">
        <f t="shared" si="10"/>
        <v>286.66714285714289</v>
      </c>
      <c r="L13" s="49">
        <f t="shared" si="10"/>
        <v>286.66714285714289</v>
      </c>
      <c r="M13" s="49">
        <f t="shared" si="10"/>
        <v>286.66714285714289</v>
      </c>
      <c r="N13" s="41"/>
    </row>
    <row r="14" spans="1:27" x14ac:dyDescent="0.3">
      <c r="A14" s="28" t="s">
        <v>87</v>
      </c>
      <c r="B14" s="28"/>
      <c r="C14" s="28"/>
      <c r="D14" s="40">
        <f>+D11-D13</f>
        <v>5364.96</v>
      </c>
      <c r="E14" s="40">
        <f>+E11-E13</f>
        <v>5978.1299999999974</v>
      </c>
      <c r="F14" s="40">
        <f>+F11-F13</f>
        <v>8247.2300000000032</v>
      </c>
      <c r="G14" s="50"/>
      <c r="H14" s="40">
        <f t="shared" ref="H14:M14" si="11">+H11-H13</f>
        <v>7466.943161142859</v>
      </c>
      <c r="I14" s="40">
        <f t="shared" si="11"/>
        <v>8087.2319854628549</v>
      </c>
      <c r="J14" s="40">
        <f t="shared" si="11"/>
        <v>8757.1439157284512</v>
      </c>
      <c r="K14" s="40">
        <f t="shared" si="11"/>
        <v>9480.6488004153034</v>
      </c>
      <c r="L14" s="40">
        <f t="shared" si="11"/>
        <v>10262.034075877102</v>
      </c>
      <c r="M14" s="40">
        <f t="shared" si="11"/>
        <v>11105.930173375844</v>
      </c>
      <c r="N14" s="41"/>
    </row>
    <row r="15" spans="1:27" x14ac:dyDescent="0.3">
      <c r="A15" s="42" t="s">
        <v>83</v>
      </c>
      <c r="B15" s="29"/>
      <c r="C15" s="29"/>
      <c r="D15" s="44">
        <f>D14/D5</f>
        <v>0.16186474402702575</v>
      </c>
      <c r="E15" s="44">
        <f t="shared" ref="E15:F15" si="12">E14/E5</f>
        <v>0.16398484942414529</v>
      </c>
      <c r="F15" s="44">
        <f t="shared" si="12"/>
        <v>0.18380100212991057</v>
      </c>
      <c r="G15" s="50"/>
      <c r="H15" s="44">
        <f>H14/H5</f>
        <v>0.15408446632487055</v>
      </c>
      <c r="I15" s="44">
        <f t="shared" ref="I15:M15" si="13">I14/I5</f>
        <v>0.15452265400450971</v>
      </c>
      <c r="J15" s="44">
        <f t="shared" si="13"/>
        <v>0.15492838333750891</v>
      </c>
      <c r="K15" s="44">
        <f t="shared" si="13"/>
        <v>0.15530405864584165</v>
      </c>
      <c r="L15" s="44">
        <f t="shared" si="13"/>
        <v>0.15565190615355709</v>
      </c>
      <c r="M15" s="44">
        <f t="shared" si="13"/>
        <v>0.15597398717921956</v>
      </c>
      <c r="N15" s="51"/>
    </row>
    <row r="16" spans="1:27" x14ac:dyDescent="0.3">
      <c r="A16" s="29" t="s">
        <v>88</v>
      </c>
      <c r="B16" s="29"/>
      <c r="C16" s="53">
        <v>0.26</v>
      </c>
      <c r="D16" s="49">
        <f>D14*$C$16</f>
        <v>1394.8896</v>
      </c>
      <c r="E16" s="49">
        <f t="shared" ref="E16:F16" si="14">E14*$C$16</f>
        <v>1554.3137999999994</v>
      </c>
      <c r="F16" s="49">
        <f t="shared" si="14"/>
        <v>2144.2798000000007</v>
      </c>
      <c r="G16" s="50"/>
      <c r="H16" s="49">
        <f>H14*$C$16</f>
        <v>1941.4052218971435</v>
      </c>
      <c r="I16" s="49">
        <f t="shared" ref="I16:M16" si="15">I14*$C$16</f>
        <v>2102.6803162203423</v>
      </c>
      <c r="J16" s="49">
        <f t="shared" si="15"/>
        <v>2276.8574180893975</v>
      </c>
      <c r="K16" s="49">
        <f t="shared" si="15"/>
        <v>2464.9686881079788</v>
      </c>
      <c r="L16" s="49">
        <f t="shared" si="15"/>
        <v>2668.1288597280463</v>
      </c>
      <c r="M16" s="49">
        <f t="shared" si="15"/>
        <v>2887.5418450777197</v>
      </c>
      <c r="N16" s="41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</row>
    <row r="17" spans="1:14" x14ac:dyDescent="0.3">
      <c r="A17" s="28" t="s">
        <v>89</v>
      </c>
      <c r="B17" s="28"/>
      <c r="C17" s="28"/>
      <c r="D17" s="40">
        <f>D14*(1-$C$16)</f>
        <v>3970.0704000000001</v>
      </c>
      <c r="E17" s="40">
        <f t="shared" ref="E17:F17" si="16">E14*(1-$C$16)</f>
        <v>4423.8161999999984</v>
      </c>
      <c r="F17" s="40">
        <f t="shared" si="16"/>
        <v>6102.950200000002</v>
      </c>
      <c r="G17" s="50"/>
      <c r="H17" s="40">
        <f t="shared" ref="H17:M17" si="17">+H14-H16</f>
        <v>5525.5379392457153</v>
      </c>
      <c r="I17" s="40">
        <f t="shared" si="17"/>
        <v>5984.5516692425126</v>
      </c>
      <c r="J17" s="40">
        <f t="shared" si="17"/>
        <v>6480.2864976390538</v>
      </c>
      <c r="K17" s="40">
        <f t="shared" si="17"/>
        <v>7015.6801123073246</v>
      </c>
      <c r="L17" s="40">
        <f t="shared" si="17"/>
        <v>7593.9052161490554</v>
      </c>
      <c r="M17" s="40">
        <f t="shared" si="17"/>
        <v>8218.3883282981242</v>
      </c>
      <c r="N17" s="41"/>
    </row>
    <row r="18" spans="1:14" x14ac:dyDescent="0.3">
      <c r="A18" s="29"/>
      <c r="B18" s="29"/>
      <c r="C18" s="29"/>
      <c r="D18" s="40"/>
      <c r="E18" s="40"/>
      <c r="F18" s="40"/>
      <c r="G18" s="30"/>
      <c r="H18" s="40"/>
      <c r="I18" s="40"/>
      <c r="J18" s="40"/>
      <c r="K18" s="40"/>
      <c r="L18" s="40"/>
      <c r="M18" s="40"/>
      <c r="N18" s="41"/>
    </row>
    <row r="19" spans="1:14" x14ac:dyDescent="0.3">
      <c r="A19" s="29" t="s">
        <v>90</v>
      </c>
      <c r="B19" s="29"/>
      <c r="C19" s="29"/>
      <c r="D19" s="49">
        <f>D13</f>
        <v>269.76</v>
      </c>
      <c r="E19" s="49">
        <f t="shared" ref="E19:M19" si="18">E13</f>
        <v>285.85000000000002</v>
      </c>
      <c r="F19" s="49">
        <f t="shared" si="18"/>
        <v>364.77</v>
      </c>
      <c r="G19" s="30"/>
      <c r="H19" s="49">
        <f t="shared" si="18"/>
        <v>286.66714285714289</v>
      </c>
      <c r="I19" s="49">
        <f t="shared" si="18"/>
        <v>286.66714285714289</v>
      </c>
      <c r="J19" s="49">
        <f t="shared" si="18"/>
        <v>286.66714285714289</v>
      </c>
      <c r="K19" s="49">
        <f t="shared" si="18"/>
        <v>286.66714285714289</v>
      </c>
      <c r="L19" s="49">
        <f t="shared" si="18"/>
        <v>286.66714285714289</v>
      </c>
      <c r="M19" s="49">
        <f t="shared" si="18"/>
        <v>286.66714285714289</v>
      </c>
      <c r="N19" s="41"/>
    </row>
    <row r="20" spans="1:14" x14ac:dyDescent="0.3">
      <c r="A20" s="29" t="s">
        <v>91</v>
      </c>
      <c r="B20" s="29"/>
      <c r="C20" s="54"/>
      <c r="D20" s="49">
        <f>'Balance Sheet'!I11</f>
        <v>77.209999999999994</v>
      </c>
      <c r="E20" s="49">
        <f>'Balance Sheet'!J11</f>
        <v>85.27</v>
      </c>
      <c r="F20" s="49">
        <f>'Balance Sheet'!K11</f>
        <v>35.1</v>
      </c>
      <c r="G20" s="30"/>
      <c r="H20" s="49">
        <f>40</f>
        <v>40</v>
      </c>
      <c r="I20" s="49">
        <f>H20</f>
        <v>40</v>
      </c>
      <c r="J20" s="49">
        <f t="shared" ref="J20:M20" si="19">H20</f>
        <v>40</v>
      </c>
      <c r="K20" s="49">
        <f t="shared" si="19"/>
        <v>40</v>
      </c>
      <c r="L20" s="49">
        <f t="shared" si="19"/>
        <v>40</v>
      </c>
      <c r="M20" s="49">
        <f t="shared" si="19"/>
        <v>40</v>
      </c>
      <c r="N20" s="41"/>
    </row>
    <row r="21" spans="1:14" x14ac:dyDescent="0.3">
      <c r="A21" s="29" t="s">
        <v>92</v>
      </c>
      <c r="B21" s="29"/>
      <c r="C21" s="29"/>
      <c r="D21" s="29">
        <f>'Balance Sheet'!I26</f>
        <v>410.32999999999993</v>
      </c>
      <c r="E21" s="29">
        <f>'Balance Sheet'!J26</f>
        <v>-1059.6900000000005</v>
      </c>
      <c r="F21" s="29">
        <f>'Balance Sheet'!K26</f>
        <v>-840.35000000000036</v>
      </c>
      <c r="G21" s="29"/>
      <c r="H21">
        <v>639.70756695637124</v>
      </c>
      <c r="I21">
        <v>-1287.1769686272828</v>
      </c>
      <c r="J21">
        <v>-1192.4784249186691</v>
      </c>
      <c r="K21">
        <v>385.60339631020463</v>
      </c>
      <c r="L21">
        <v>-1541.2811392734493</v>
      </c>
      <c r="M21">
        <v>-1446.5825955648359</v>
      </c>
      <c r="N21" s="41"/>
    </row>
    <row r="22" spans="1:14" x14ac:dyDescent="0.3">
      <c r="A22" s="29"/>
      <c r="B22" s="29"/>
      <c r="C22" s="29"/>
      <c r="D22" s="29"/>
      <c r="E22" s="29"/>
      <c r="F22" s="29"/>
      <c r="G22" s="29"/>
      <c r="H22" s="49"/>
      <c r="I22" s="49"/>
      <c r="J22" s="49"/>
      <c r="K22" s="49"/>
      <c r="L22" s="49"/>
      <c r="M22" s="49"/>
      <c r="N22" s="41"/>
    </row>
    <row r="23" spans="1:14" x14ac:dyDescent="0.3">
      <c r="A23" s="28" t="s">
        <v>93</v>
      </c>
      <c r="B23" s="28"/>
      <c r="C23" s="28"/>
      <c r="D23" s="49">
        <f>+D17+SUM(D19:D21)</f>
        <v>4727.3703999999998</v>
      </c>
      <c r="E23" s="49">
        <f t="shared" ref="E23:F23" si="20">+E17+SUM(E19:E21)</f>
        <v>3735.2461999999978</v>
      </c>
      <c r="F23" s="49">
        <f t="shared" si="20"/>
        <v>5662.4702000000016</v>
      </c>
      <c r="G23" s="28"/>
      <c r="H23" s="49">
        <f>+H17+SUM(H19:H21)</f>
        <v>6491.9126490592298</v>
      </c>
      <c r="I23" s="49">
        <f t="shared" ref="I23:M23" si="21">+I17+SUM(I19:I21)</f>
        <v>5024.0418434723724</v>
      </c>
      <c r="J23" s="49">
        <f t="shared" si="21"/>
        <v>5614.4752155775277</v>
      </c>
      <c r="K23" s="49">
        <f t="shared" si="21"/>
        <v>7727.9506514746718</v>
      </c>
      <c r="L23" s="49">
        <f t="shared" si="21"/>
        <v>6379.2912197327487</v>
      </c>
      <c r="M23" s="49">
        <f t="shared" si="21"/>
        <v>7098.4728755904307</v>
      </c>
      <c r="N23" s="41"/>
    </row>
    <row r="24" spans="1:14" x14ac:dyDescent="0.3">
      <c r="A24" s="52" t="s">
        <v>94</v>
      </c>
      <c r="B24" s="28"/>
      <c r="C24" s="28"/>
      <c r="D24" s="55">
        <f>C35</f>
        <v>7.9916925052569907E-2</v>
      </c>
      <c r="E24" s="28"/>
      <c r="F24" s="29"/>
      <c r="G24" s="29"/>
      <c r="H24" s="56"/>
      <c r="I24" s="57"/>
      <c r="J24" s="57"/>
      <c r="K24" s="57"/>
      <c r="L24" s="57"/>
      <c r="M24" s="57"/>
      <c r="N24" s="41"/>
    </row>
    <row r="25" spans="1:14" x14ac:dyDescent="0.3">
      <c r="A25" s="52" t="s">
        <v>95</v>
      </c>
      <c r="B25" s="28"/>
      <c r="C25" s="28"/>
      <c r="D25" s="58"/>
      <c r="E25" s="28"/>
      <c r="F25" s="28"/>
      <c r="G25" s="28"/>
      <c r="H25" s="56">
        <v>1</v>
      </c>
      <c r="I25" s="57">
        <v>2</v>
      </c>
      <c r="J25" s="56">
        <v>3</v>
      </c>
      <c r="K25" s="57">
        <v>4</v>
      </c>
      <c r="L25" s="56">
        <v>5</v>
      </c>
      <c r="M25" s="57">
        <v>6</v>
      </c>
      <c r="N25" s="41"/>
    </row>
    <row r="26" spans="1:14" x14ac:dyDescent="0.3">
      <c r="A26" s="52" t="s">
        <v>96</v>
      </c>
      <c r="B26" s="29"/>
      <c r="C26" s="29"/>
      <c r="D26" s="29"/>
      <c r="E26" s="29"/>
      <c r="F26" s="29"/>
      <c r="G26" s="29"/>
      <c r="H26" s="59">
        <f>1/((1+$D$24)^(H25))</f>
        <v>0.92599715478236477</v>
      </c>
      <c r="I26" s="59">
        <f t="shared" ref="I26:M26" si="22">1/((1+$D$24)^(I25))</f>
        <v>0.85747073066503476</v>
      </c>
      <c r="J26" s="59">
        <f t="shared" si="22"/>
        <v>0.79401545690497766</v>
      </c>
      <c r="K26" s="59">
        <f t="shared" si="22"/>
        <v>0.73525605394722859</v>
      </c>
      <c r="L26" s="59">
        <f t="shared" si="22"/>
        <v>0.68084501399164254</v>
      </c>
      <c r="M26" s="59">
        <f t="shared" si="22"/>
        <v>0.63046054580402044</v>
      </c>
      <c r="N26" s="60"/>
    </row>
    <row r="27" spans="1:14" x14ac:dyDescent="0.3">
      <c r="A27" s="61" t="s">
        <v>97</v>
      </c>
      <c r="B27" s="62"/>
      <c r="C27" s="62"/>
      <c r="D27" s="63"/>
      <c r="E27" s="62"/>
      <c r="F27" s="62"/>
      <c r="G27" s="62"/>
      <c r="H27" s="64">
        <f t="shared" ref="H27:M27" si="23">+H23*H26</f>
        <v>6011.4926421244918</v>
      </c>
      <c r="I27" s="64">
        <f t="shared" si="23"/>
        <v>4307.9688304139636</v>
      </c>
      <c r="J27" s="64">
        <f t="shared" si="23"/>
        <v>4457.980103578464</v>
      </c>
      <c r="K27" s="64">
        <f t="shared" si="23"/>
        <v>5682.0225011021812</v>
      </c>
      <c r="L27" s="64">
        <f t="shared" si="23"/>
        <v>4343.3086197557059</v>
      </c>
      <c r="M27" s="64">
        <f t="shared" si="23"/>
        <v>4475.3070835197777</v>
      </c>
      <c r="N27" s="65"/>
    </row>
    <row r="28" spans="1:14" x14ac:dyDescent="0.3">
      <c r="A28" s="28"/>
      <c r="B28" s="29"/>
      <c r="C28" s="29"/>
      <c r="D28" s="66"/>
      <c r="E28" s="29"/>
      <c r="F28" s="29"/>
      <c r="G28" s="29"/>
      <c r="H28" s="67"/>
      <c r="I28" s="28"/>
      <c r="J28" s="28"/>
      <c r="K28" s="28"/>
      <c r="L28" s="28"/>
      <c r="M28" s="28"/>
      <c r="N28" s="28"/>
    </row>
    <row r="29" spans="1:14" ht="15.6" x14ac:dyDescent="0.3">
      <c r="A29" s="68"/>
      <c r="B29" s="69"/>
      <c r="C29" s="70" t="s">
        <v>98</v>
      </c>
      <c r="D29" s="71"/>
      <c r="E29" s="72"/>
      <c r="F29" s="72"/>
      <c r="G29" s="29"/>
      <c r="H29" s="67"/>
      <c r="I29" s="28"/>
      <c r="J29" s="28"/>
      <c r="K29" s="28"/>
      <c r="L29" s="28"/>
      <c r="M29" s="28"/>
      <c r="N29" s="28"/>
    </row>
    <row r="30" spans="1:14" x14ac:dyDescent="0.3">
      <c r="A30" s="28"/>
      <c r="B30" s="29"/>
      <c r="C30" s="29"/>
      <c r="D30" s="66"/>
      <c r="E30" s="29"/>
      <c r="F30" s="29"/>
      <c r="G30" s="29"/>
      <c r="H30" s="67"/>
      <c r="I30" s="28"/>
      <c r="J30" s="28"/>
      <c r="K30" s="28"/>
      <c r="L30" s="28"/>
      <c r="M30" s="28"/>
      <c r="N30" s="28"/>
    </row>
    <row r="31" spans="1:14" x14ac:dyDescent="0.3">
      <c r="A31" s="28" t="s">
        <v>99</v>
      </c>
      <c r="B31" s="29"/>
      <c r="C31" s="73">
        <v>0.06</v>
      </c>
      <c r="D31" s="66" t="s">
        <v>100</v>
      </c>
      <c r="E31" s="74"/>
      <c r="F31" s="74">
        <v>0.63</v>
      </c>
      <c r="G31" s="29"/>
      <c r="H31" s="67"/>
      <c r="I31" s="28"/>
      <c r="J31" s="28"/>
      <c r="K31" s="28"/>
      <c r="L31" s="28"/>
      <c r="M31" s="28"/>
      <c r="N31" s="28"/>
    </row>
    <row r="32" spans="1:14" x14ac:dyDescent="0.3">
      <c r="A32" s="28" t="s">
        <v>101</v>
      </c>
      <c r="B32" s="29"/>
      <c r="C32" s="75">
        <f>11%-C31</f>
        <v>0.05</v>
      </c>
      <c r="D32" s="76" t="s">
        <v>102</v>
      </c>
      <c r="E32" s="29"/>
      <c r="F32" s="73">
        <f>'Data Sheet'!K27*(1-0.26)/'Data Sheet'!K59</f>
        <v>2.3364265015117115E-2</v>
      </c>
      <c r="G32" s="29"/>
      <c r="H32" s="67"/>
      <c r="I32" s="29"/>
      <c r="J32" s="29"/>
      <c r="K32" s="29"/>
      <c r="L32" s="29"/>
      <c r="M32" s="29"/>
      <c r="N32" s="29"/>
    </row>
    <row r="33" spans="1:14" x14ac:dyDescent="0.3">
      <c r="A33" s="28" t="s">
        <v>103</v>
      </c>
      <c r="B33" s="29"/>
      <c r="C33" s="75">
        <v>0.17</v>
      </c>
      <c r="D33" s="76" t="s">
        <v>104</v>
      </c>
      <c r="E33" s="29"/>
      <c r="F33" s="75">
        <f>1-C33</f>
        <v>0.83</v>
      </c>
      <c r="G33" s="29"/>
      <c r="H33" s="67"/>
      <c r="I33" s="29"/>
      <c r="J33" s="29"/>
      <c r="K33" s="29"/>
      <c r="L33" s="29"/>
      <c r="M33" s="29"/>
      <c r="N33" s="29"/>
    </row>
    <row r="34" spans="1:14" x14ac:dyDescent="0.3">
      <c r="A34" s="28" t="s">
        <v>105</v>
      </c>
      <c r="B34" s="29"/>
      <c r="C34" s="77">
        <f>C31+(F31*C32)</f>
        <v>9.1499999999999998E-2</v>
      </c>
      <c r="D34" s="76"/>
      <c r="E34" s="29"/>
      <c r="F34" s="29"/>
      <c r="G34" s="29"/>
      <c r="H34" s="67"/>
      <c r="I34" s="29"/>
      <c r="J34" s="29"/>
      <c r="K34" s="29"/>
      <c r="L34" s="29"/>
      <c r="M34" s="29"/>
      <c r="N34" s="29"/>
    </row>
    <row r="35" spans="1:14" x14ac:dyDescent="0.3">
      <c r="A35" s="28" t="s">
        <v>106</v>
      </c>
      <c r="B35" s="29"/>
      <c r="C35" s="77">
        <f>(C33*F32)+(F33*C34)</f>
        <v>7.9916925052569907E-2</v>
      </c>
      <c r="D35" s="76"/>
      <c r="E35" s="29"/>
      <c r="F35" s="29"/>
      <c r="G35" s="29"/>
      <c r="H35" s="67"/>
      <c r="I35" s="29"/>
      <c r="J35" s="29"/>
      <c r="K35" s="29"/>
      <c r="L35" s="29"/>
      <c r="M35" s="29"/>
      <c r="N35" s="29"/>
    </row>
    <row r="36" spans="1:14" x14ac:dyDescent="0.3">
      <c r="A36" s="28"/>
      <c r="B36" s="29"/>
      <c r="C36" s="75"/>
      <c r="D36" s="76"/>
      <c r="E36" s="29"/>
      <c r="F36" s="29"/>
      <c r="G36" s="29"/>
      <c r="H36" s="67"/>
      <c r="I36" s="29"/>
      <c r="J36" s="29"/>
      <c r="K36" s="29"/>
      <c r="L36" s="29"/>
      <c r="M36" s="29"/>
      <c r="N36" s="29"/>
    </row>
    <row r="37" spans="1:14" x14ac:dyDescent="0.3">
      <c r="A37" s="29"/>
      <c r="B37" s="29"/>
      <c r="C37" s="29"/>
      <c r="D37" s="29"/>
      <c r="E37" s="29"/>
      <c r="F37" s="29"/>
      <c r="G37" s="29"/>
      <c r="H37" s="67"/>
      <c r="I37" s="29"/>
      <c r="J37" s="29"/>
      <c r="K37" s="78"/>
      <c r="L37" s="29"/>
      <c r="M37" s="29"/>
      <c r="N37" s="29"/>
    </row>
    <row r="38" spans="1:14" x14ac:dyDescent="0.3">
      <c r="A38" s="79" t="s">
        <v>107</v>
      </c>
      <c r="B38" s="79"/>
      <c r="C38" s="79"/>
      <c r="D38" s="79"/>
      <c r="E38" s="67"/>
      <c r="F38" s="234" t="s">
        <v>108</v>
      </c>
      <c r="G38" s="234"/>
      <c r="H38" s="234"/>
      <c r="I38" s="234"/>
      <c r="J38" s="67"/>
      <c r="K38" s="79" t="s">
        <v>109</v>
      </c>
      <c r="L38" s="79"/>
      <c r="M38" s="79"/>
      <c r="N38" s="79"/>
    </row>
    <row r="39" spans="1:14" x14ac:dyDescent="0.3">
      <c r="A39" s="26" t="s">
        <v>110</v>
      </c>
      <c r="B39" s="26"/>
      <c r="C39" s="26"/>
      <c r="D39" s="26">
        <f>+SUM(H27:M27)</f>
        <v>29278.079780494583</v>
      </c>
      <c r="E39" s="29"/>
      <c r="F39" s="29" t="s">
        <v>107</v>
      </c>
      <c r="G39" s="29"/>
      <c r="H39" s="67"/>
      <c r="I39" s="40">
        <f>+D48</f>
        <v>222171.39534798919</v>
      </c>
      <c r="J39" s="29"/>
      <c r="K39" s="29" t="str">
        <f>"Terminal Year Free Cash Flow ("&amp;M4&amp;"E)"</f>
        <v>Terminal Year Free Cash Flow (2030E)</v>
      </c>
      <c r="L39" s="29"/>
      <c r="M39" s="29"/>
      <c r="N39" s="49">
        <f>+M23</f>
        <v>7098.4728755904307</v>
      </c>
    </row>
    <row r="40" spans="1:14" x14ac:dyDescent="0.3">
      <c r="A40" s="80"/>
      <c r="B40" s="27"/>
      <c r="C40" s="27"/>
      <c r="D40" s="81"/>
      <c r="E40" s="29"/>
      <c r="F40" s="29" t="s">
        <v>111</v>
      </c>
      <c r="G40" s="29"/>
      <c r="H40" s="29"/>
      <c r="I40" s="40">
        <f>'Balance Sheet'!K6</f>
        <v>1911.74</v>
      </c>
      <c r="J40" s="29"/>
      <c r="K40" s="29" t="s">
        <v>112</v>
      </c>
      <c r="L40" s="29"/>
      <c r="M40" s="29"/>
      <c r="N40" s="82">
        <f>+D24</f>
        <v>7.9916925052569907E-2</v>
      </c>
    </row>
    <row r="41" spans="1:14" x14ac:dyDescent="0.3">
      <c r="A41" s="83"/>
      <c r="B41" s="83" t="s">
        <v>113</v>
      </c>
      <c r="C41" s="83"/>
      <c r="D41" s="83"/>
      <c r="E41" s="29"/>
      <c r="F41" s="29" t="s">
        <v>114</v>
      </c>
      <c r="G41" s="29"/>
      <c r="H41" s="29"/>
      <c r="I41" s="99">
        <v>0</v>
      </c>
      <c r="J41" s="29"/>
      <c r="K41" s="29" t="s">
        <v>115</v>
      </c>
      <c r="L41" s="29"/>
      <c r="M41" s="29"/>
      <c r="N41" s="49">
        <f>+D44</f>
        <v>305956.20431965264</v>
      </c>
    </row>
    <row r="42" spans="1:14" x14ac:dyDescent="0.3">
      <c r="A42" s="29" t="str">
        <f>"Terminal Year EBITDA ("&amp;M4&amp;"E)"</f>
        <v>Terminal Year EBITDA (2030E)</v>
      </c>
      <c r="B42" s="84"/>
      <c r="C42" s="84"/>
      <c r="D42" s="40">
        <f>+M11</f>
        <v>11392.597316232986</v>
      </c>
      <c r="E42" s="29"/>
      <c r="F42" s="29" t="s">
        <v>116</v>
      </c>
      <c r="G42" s="29"/>
      <c r="H42" s="29"/>
      <c r="I42" s="40">
        <f>'Data Sheet'!K69</f>
        <v>955.32</v>
      </c>
      <c r="J42" s="29"/>
      <c r="K42" s="30"/>
      <c r="L42" s="30"/>
      <c r="M42" s="30"/>
      <c r="N42" s="49"/>
    </row>
    <row r="43" spans="1:14" x14ac:dyDescent="0.3">
      <c r="A43" s="85" t="s">
        <v>117</v>
      </c>
      <c r="B43" s="85"/>
      <c r="C43" s="85"/>
      <c r="D43" s="86">
        <f>N49</f>
        <v>26.855702508128182</v>
      </c>
      <c r="E43" s="29"/>
      <c r="F43" s="29"/>
      <c r="G43" s="29"/>
      <c r="H43" s="29"/>
      <c r="I43" s="40"/>
      <c r="J43" s="29"/>
      <c r="K43" s="28" t="s">
        <v>118</v>
      </c>
      <c r="L43" s="29"/>
      <c r="M43" s="29"/>
      <c r="N43" s="82">
        <f>(N40-(N39/N41))/(1+(N39/N41))</f>
        <v>5.5429953418551545E-2</v>
      </c>
    </row>
    <row r="44" spans="1:14" x14ac:dyDescent="0.3">
      <c r="A44" s="87" t="s">
        <v>119</v>
      </c>
      <c r="B44" s="87"/>
      <c r="C44" s="87"/>
      <c r="D44" s="40">
        <f>+D42*D43</f>
        <v>305956.20431965264</v>
      </c>
      <c r="E44" s="29"/>
      <c r="F44" s="29"/>
      <c r="G44" s="29"/>
      <c r="H44" s="29"/>
      <c r="I44" s="29" t="s">
        <v>120</v>
      </c>
      <c r="J44" s="29"/>
      <c r="K44" s="29"/>
      <c r="L44" s="29"/>
      <c r="M44" s="29"/>
      <c r="N44" s="49"/>
    </row>
    <row r="45" spans="1:14" x14ac:dyDescent="0.3">
      <c r="A45" s="85" t="s">
        <v>121</v>
      </c>
      <c r="B45" s="85"/>
      <c r="C45" s="85"/>
      <c r="D45" s="88">
        <f>M26</f>
        <v>0.63046054580402044</v>
      </c>
      <c r="E45" s="29"/>
      <c r="F45" s="28" t="s">
        <v>122</v>
      </c>
      <c r="G45" s="29"/>
      <c r="H45" s="29"/>
      <c r="I45" s="89">
        <f>+I39-I40-I41+I42</f>
        <v>221214.97534798921</v>
      </c>
      <c r="J45" s="29"/>
      <c r="K45" s="90" t="s">
        <v>123</v>
      </c>
      <c r="L45" s="91"/>
      <c r="M45" s="91"/>
      <c r="N45" s="49"/>
    </row>
    <row r="46" spans="1:14" x14ac:dyDescent="0.3">
      <c r="A46" s="87" t="s">
        <v>124</v>
      </c>
      <c r="B46" s="87"/>
      <c r="C46" s="87"/>
      <c r="D46" s="40">
        <f>+D44*D45</f>
        <v>192893.3155674946</v>
      </c>
      <c r="E46" s="29"/>
      <c r="F46" s="29"/>
      <c r="G46" s="29"/>
      <c r="H46" s="29"/>
      <c r="I46" s="29"/>
      <c r="J46" s="29"/>
      <c r="K46" s="29" t="str">
        <f>+F39</f>
        <v>Enterprise Value</v>
      </c>
      <c r="L46" s="29"/>
      <c r="M46" s="29"/>
      <c r="N46" s="49">
        <f>'Data Sheet'!B9+'Data Sheet'!K59-'Data Sheet'!K69</f>
        <v>231281.31</v>
      </c>
    </row>
    <row r="47" spans="1:14" x14ac:dyDescent="0.3">
      <c r="A47" s="80"/>
      <c r="B47" s="85"/>
      <c r="C47" s="85"/>
      <c r="D47" s="43"/>
      <c r="E47" s="29"/>
      <c r="F47" s="29" t="s">
        <v>125</v>
      </c>
      <c r="G47" s="29"/>
      <c r="H47" s="29"/>
      <c r="I47" s="40">
        <f>'Data Sheet'!B6</f>
        <v>27.926631100333434</v>
      </c>
      <c r="J47" s="29"/>
      <c r="K47" s="29" t="s">
        <v>126</v>
      </c>
      <c r="L47" s="29"/>
      <c r="M47" s="29"/>
      <c r="N47" s="60">
        <f>F11</f>
        <v>8612.0000000000036</v>
      </c>
    </row>
    <row r="48" spans="1:14" x14ac:dyDescent="0.3">
      <c r="A48" s="87" t="s">
        <v>127</v>
      </c>
      <c r="B48" s="85"/>
      <c r="C48" s="85"/>
      <c r="D48" s="92">
        <f>D46+D39</f>
        <v>222171.39534798919</v>
      </c>
      <c r="E48" s="29"/>
      <c r="F48" s="29"/>
      <c r="G48" s="29"/>
      <c r="H48" s="29"/>
      <c r="I48" s="29"/>
      <c r="J48" s="29"/>
      <c r="K48" s="29"/>
      <c r="L48" s="29"/>
      <c r="M48" s="29"/>
      <c r="N48" s="60"/>
    </row>
    <row r="49" spans="1:14" x14ac:dyDescent="0.3">
      <c r="A49" s="87"/>
      <c r="B49" s="87"/>
      <c r="C49" s="87"/>
      <c r="D49" s="29"/>
      <c r="E49" s="29"/>
      <c r="F49" s="28" t="s">
        <v>128</v>
      </c>
      <c r="G49" s="29"/>
      <c r="H49" s="29"/>
      <c r="I49" s="93">
        <f>+IF(ISERROR(I45/I47),"NA",I45/I47)</f>
        <v>7921.291134373454</v>
      </c>
      <c r="J49" s="29"/>
      <c r="K49" s="28" t="s">
        <v>123</v>
      </c>
      <c r="L49" s="29"/>
      <c r="M49" s="29"/>
      <c r="N49" s="49">
        <f>+IF(ISERROR(N46/N47),"- x",N46/N47)</f>
        <v>26.855702508128182</v>
      </c>
    </row>
    <row r="50" spans="1:14" x14ac:dyDescent="0.3">
      <c r="A50" s="83"/>
      <c r="B50" s="83" t="s">
        <v>129</v>
      </c>
      <c r="C50" s="83"/>
      <c r="D50" s="83"/>
      <c r="E50" s="29"/>
      <c r="F50" s="28"/>
      <c r="G50" s="29"/>
      <c r="H50" s="29"/>
      <c r="I50" s="29"/>
      <c r="J50" s="29"/>
      <c r="K50" s="28"/>
      <c r="L50" s="29"/>
      <c r="M50" s="29"/>
    </row>
    <row r="51" spans="1:14" x14ac:dyDescent="0.3">
      <c r="A51" s="29" t="str">
        <f>"Terminal Year Cash Flow"</f>
        <v>Terminal Year Cash Flow</v>
      </c>
      <c r="B51" s="84"/>
      <c r="C51" s="84"/>
      <c r="D51" s="40">
        <f>+M23</f>
        <v>7098.4728755904307</v>
      </c>
      <c r="E51" s="29"/>
      <c r="F51" s="28" t="s">
        <v>130</v>
      </c>
      <c r="G51" s="29"/>
      <c r="H51" s="29"/>
      <c r="I51" s="94">
        <v>8248</v>
      </c>
      <c r="J51" s="29"/>
      <c r="K51" s="28"/>
      <c r="L51" s="29"/>
      <c r="M51" s="29"/>
    </row>
    <row r="52" spans="1:14" x14ac:dyDescent="0.3">
      <c r="A52" s="85" t="s">
        <v>131</v>
      </c>
      <c r="B52" s="85"/>
      <c r="C52" s="85"/>
      <c r="D52" s="77">
        <f>N43</f>
        <v>5.5429953418551545E-2</v>
      </c>
      <c r="E52" s="29"/>
      <c r="F52" s="28"/>
      <c r="G52" s="29"/>
      <c r="H52" s="29"/>
      <c r="I52" s="29"/>
      <c r="J52" s="29"/>
      <c r="K52" s="28"/>
      <c r="L52" s="29"/>
      <c r="M52" s="29"/>
    </row>
    <row r="53" spans="1:14" x14ac:dyDescent="0.3">
      <c r="A53" s="87" t="s">
        <v>119</v>
      </c>
      <c r="B53" s="87"/>
      <c r="C53" s="87"/>
      <c r="D53" s="40">
        <f>+IF(ISERROR(D51/(D24-D52)),0,D51/(D24-D52))</f>
        <v>289887.74037410674</v>
      </c>
      <c r="E53" s="29"/>
      <c r="F53" s="28"/>
      <c r="G53" s="29"/>
      <c r="H53" s="29"/>
      <c r="I53" s="29"/>
      <c r="J53" s="28"/>
      <c r="K53" s="29"/>
      <c r="L53" s="29"/>
    </row>
    <row r="54" spans="1:14" x14ac:dyDescent="0.3">
      <c r="A54" s="85" t="s">
        <v>121</v>
      </c>
      <c r="B54" s="85"/>
      <c r="C54" s="85"/>
      <c r="D54" s="88">
        <f>M26</f>
        <v>0.63046054580402044</v>
      </c>
      <c r="E54" s="29"/>
      <c r="F54" s="28"/>
      <c r="G54" s="29"/>
      <c r="H54" s="29"/>
      <c r="I54" s="29"/>
      <c r="J54" s="29"/>
      <c r="K54" s="28"/>
      <c r="L54" s="29"/>
      <c r="M54" s="29"/>
    </row>
    <row r="55" spans="1:14" x14ac:dyDescent="0.3">
      <c r="A55" s="87" t="s">
        <v>124</v>
      </c>
      <c r="B55" s="87"/>
      <c r="C55" s="87"/>
      <c r="D55" s="40">
        <f>+D53*D54</f>
        <v>182762.78301815351</v>
      </c>
      <c r="E55" s="29"/>
      <c r="F55" s="28"/>
      <c r="G55" s="29"/>
      <c r="H55" s="29"/>
      <c r="I55" s="29"/>
      <c r="J55" s="29"/>
      <c r="K55" s="28"/>
      <c r="L55" s="29"/>
      <c r="M55" s="29"/>
    </row>
    <row r="56" spans="1:14" x14ac:dyDescent="0.3">
      <c r="A56" s="80"/>
      <c r="B56" s="85"/>
      <c r="C56" s="85"/>
      <c r="D56" s="43"/>
      <c r="E56" s="29"/>
      <c r="F56" s="29"/>
      <c r="G56" s="29"/>
      <c r="H56" s="29"/>
      <c r="I56" s="29"/>
      <c r="J56" s="29"/>
      <c r="K56" s="29"/>
      <c r="L56" s="29"/>
      <c r="M56" s="29"/>
    </row>
    <row r="57" spans="1:14" x14ac:dyDescent="0.3">
      <c r="A57" s="87" t="s">
        <v>132</v>
      </c>
      <c r="B57" s="85"/>
      <c r="C57" s="85"/>
      <c r="D57" s="89">
        <f>D55+D39</f>
        <v>212040.8627986481</v>
      </c>
      <c r="E57" s="29"/>
      <c r="F57" s="29"/>
      <c r="G57" s="29"/>
      <c r="H57" s="29"/>
      <c r="I57" s="29"/>
      <c r="J57" s="29"/>
      <c r="K57" s="29"/>
      <c r="L57" s="29"/>
      <c r="M57" s="29"/>
    </row>
    <row r="60" spans="1:14" x14ac:dyDescent="0.3">
      <c r="A60" s="95" t="s">
        <v>133</v>
      </c>
      <c r="B60" s="95"/>
      <c r="C60" s="95"/>
    </row>
  </sheetData>
  <mergeCells count="2">
    <mergeCell ref="I3:M3"/>
    <mergeCell ref="F38:I3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67EF-CD9C-4108-BCAC-668820DD810A}">
  <dimension ref="A1:E16"/>
  <sheetViews>
    <sheetView zoomScaleNormal="100" workbookViewId="0">
      <selection activeCell="C11" sqref="C11:C16"/>
    </sheetView>
  </sheetViews>
  <sheetFormatPr defaultRowHeight="14.4" x14ac:dyDescent="0.3"/>
  <cols>
    <col min="1" max="1" width="10" customWidth="1"/>
    <col min="2" max="2" width="9.5546875" bestFit="1" customWidth="1"/>
    <col min="3" max="3" width="9.88671875" customWidth="1"/>
    <col min="4" max="4" width="24" customWidth="1"/>
    <col min="5" max="5" width="24.109375" customWidth="1"/>
  </cols>
  <sheetData>
    <row r="1" spans="1:5" x14ac:dyDescent="0.3">
      <c r="A1" t="s">
        <v>135</v>
      </c>
      <c r="B1" t="s">
        <v>136</v>
      </c>
      <c r="C1" t="s">
        <v>137</v>
      </c>
      <c r="D1" t="s">
        <v>138</v>
      </c>
      <c r="E1" t="s">
        <v>139</v>
      </c>
    </row>
    <row r="2" spans="1:5" x14ac:dyDescent="0.3">
      <c r="A2" s="98">
        <v>42460</v>
      </c>
      <c r="B2" s="97">
        <v>1473.5800000000004</v>
      </c>
    </row>
    <row r="3" spans="1:5" x14ac:dyDescent="0.3">
      <c r="A3" s="98">
        <v>42825</v>
      </c>
      <c r="B3" s="97">
        <v>-537.5600000000004</v>
      </c>
    </row>
    <row r="4" spans="1:5" x14ac:dyDescent="0.3">
      <c r="A4" s="98">
        <v>43190</v>
      </c>
      <c r="B4" s="97">
        <v>-738.82999999999947</v>
      </c>
    </row>
    <row r="5" spans="1:5" x14ac:dyDescent="0.3">
      <c r="A5" s="98">
        <v>43555</v>
      </c>
      <c r="B5" s="97">
        <v>1226.8800000000001</v>
      </c>
    </row>
    <row r="6" spans="1:5" x14ac:dyDescent="0.3">
      <c r="A6" s="98">
        <v>43921</v>
      </c>
      <c r="B6" s="97">
        <v>-828.64000000000124</v>
      </c>
    </row>
    <row r="7" spans="1:5" x14ac:dyDescent="0.3">
      <c r="A7" s="98">
        <v>44286</v>
      </c>
      <c r="B7" s="97">
        <v>909.83000000000084</v>
      </c>
    </row>
    <row r="8" spans="1:5" x14ac:dyDescent="0.3">
      <c r="A8" s="98">
        <v>44651</v>
      </c>
      <c r="B8" s="97">
        <v>410.32999999999993</v>
      </c>
    </row>
    <row r="9" spans="1:5" x14ac:dyDescent="0.3">
      <c r="A9" s="98">
        <v>45016</v>
      </c>
      <c r="B9" s="97">
        <v>-1059.6900000000005</v>
      </c>
    </row>
    <row r="10" spans="1:5" x14ac:dyDescent="0.3">
      <c r="A10" s="98">
        <v>45382</v>
      </c>
      <c r="B10" s="97">
        <v>-840.35000000000036</v>
      </c>
      <c r="C10" s="97">
        <v>-840.35000000000036</v>
      </c>
      <c r="D10" s="97">
        <v>-840.35000000000036</v>
      </c>
      <c r="E10" s="97">
        <v>-840.35000000000036</v>
      </c>
    </row>
    <row r="11" spans="1:5" x14ac:dyDescent="0.3">
      <c r="A11" s="98">
        <v>45747</v>
      </c>
      <c r="C11" s="97">
        <f t="shared" ref="C11:C16" si="0">_xlfn.FORECAST.ETS(A11,$B$2:$B$10,$A$2:$A$10,1,1)</f>
        <v>639.70756695637124</v>
      </c>
      <c r="D11" s="97">
        <f t="shared" ref="D11:D16" si="1">C11-_xlfn.FORECAST.ETS.CONFINT(A11,$B$2:$B$10,$A$2:$A$10,0.95,1,1)</f>
        <v>-620.53077227381868</v>
      </c>
      <c r="E11" s="97">
        <f t="shared" ref="E11:E16" si="2">C11+_xlfn.FORECAST.ETS.CONFINT(A11,$B$2:$B$10,$A$2:$A$10,0.95,1,1)</f>
        <v>1899.9459061865612</v>
      </c>
    </row>
    <row r="12" spans="1:5" x14ac:dyDescent="0.3">
      <c r="A12" s="98">
        <v>46112</v>
      </c>
      <c r="C12" s="97">
        <f t="shared" si="0"/>
        <v>-1287.1769686272828</v>
      </c>
      <c r="D12" s="97">
        <f t="shared" si="1"/>
        <v>-2547.4209789172392</v>
      </c>
      <c r="E12" s="97">
        <f t="shared" si="2"/>
        <v>-26.932958337326227</v>
      </c>
    </row>
    <row r="13" spans="1:5" x14ac:dyDescent="0.3">
      <c r="A13" s="98">
        <v>46477</v>
      </c>
      <c r="C13" s="97">
        <f t="shared" si="0"/>
        <v>-1192.4784249186691</v>
      </c>
      <c r="D13" s="97">
        <f t="shared" si="1"/>
        <v>-2452.7325170296444</v>
      </c>
      <c r="E13" s="97">
        <f t="shared" si="2"/>
        <v>67.775667192306173</v>
      </c>
    </row>
    <row r="14" spans="1:5" x14ac:dyDescent="0.3">
      <c r="A14" s="98">
        <v>46843</v>
      </c>
      <c r="C14" s="97">
        <f t="shared" si="0"/>
        <v>385.60339631020463</v>
      </c>
      <c r="D14" s="97">
        <f t="shared" si="1"/>
        <v>-885.25496245115198</v>
      </c>
      <c r="E14" s="97">
        <f t="shared" si="2"/>
        <v>1656.4617550715611</v>
      </c>
    </row>
    <row r="15" spans="1:5" x14ac:dyDescent="0.3">
      <c r="A15" s="98">
        <v>47208</v>
      </c>
      <c r="C15" s="97">
        <f t="shared" si="0"/>
        <v>-1541.2811392734493</v>
      </c>
      <c r="D15" s="97">
        <f t="shared" si="1"/>
        <v>-2812.1619925629261</v>
      </c>
      <c r="E15" s="97">
        <f t="shared" si="2"/>
        <v>-270.40028598397248</v>
      </c>
    </row>
    <row r="16" spans="1:5" x14ac:dyDescent="0.3">
      <c r="A16" s="98">
        <v>47573</v>
      </c>
      <c r="C16" s="97">
        <f t="shared" si="0"/>
        <v>-1446.5825955648359</v>
      </c>
      <c r="D16" s="97">
        <f t="shared" si="1"/>
        <v>-2717.4940657667144</v>
      </c>
      <c r="E16" s="97">
        <f t="shared" si="2"/>
        <v>-175.67112536295735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CD787-6228-4E30-BFEE-CA5DD20CBC8E}">
  <dimension ref="A1:T172"/>
  <sheetViews>
    <sheetView tabSelected="1" zoomScale="52" workbookViewId="0">
      <selection activeCell="I30" sqref="I30"/>
    </sheetView>
  </sheetViews>
  <sheetFormatPr defaultRowHeight="14.4" x14ac:dyDescent="0.3"/>
  <cols>
    <col min="1" max="1" width="56.33203125" customWidth="1"/>
    <col min="2" max="2" width="23.109375" customWidth="1"/>
    <col min="3" max="3" width="17.5546875" customWidth="1"/>
    <col min="4" max="4" width="35.44140625" customWidth="1"/>
    <col min="5" max="5" width="38.21875" customWidth="1"/>
    <col min="6" max="6" width="49.6640625" customWidth="1"/>
    <col min="7" max="7" width="16.21875" bestFit="1" customWidth="1"/>
    <col min="8" max="8" width="48.6640625" bestFit="1" customWidth="1"/>
    <col min="11" max="11" width="41.88671875" bestFit="1" customWidth="1"/>
    <col min="12" max="12" width="22.109375" bestFit="1" customWidth="1"/>
    <col min="13" max="13" width="19.44140625" bestFit="1" customWidth="1"/>
    <col min="14" max="15" width="21.44140625" bestFit="1" customWidth="1"/>
    <col min="16" max="17" width="21.33203125" bestFit="1" customWidth="1"/>
    <col min="18" max="19" width="11.33203125" bestFit="1" customWidth="1"/>
  </cols>
  <sheetData>
    <row r="1" spans="1:20" ht="15" thickBot="1" x14ac:dyDescent="0.35">
      <c r="A1" s="100"/>
      <c r="B1" s="100"/>
      <c r="C1" s="100"/>
      <c r="D1" s="100"/>
      <c r="E1" s="100"/>
      <c r="F1" s="100"/>
      <c r="G1" s="100"/>
      <c r="H1" s="100"/>
      <c r="I1" s="100"/>
      <c r="J1" s="100"/>
    </row>
    <row r="2" spans="1:20" ht="29.4" customHeight="1" thickBot="1" x14ac:dyDescent="0.6">
      <c r="A2" s="237" t="s">
        <v>140</v>
      </c>
      <c r="B2" s="238"/>
      <c r="C2" s="238"/>
      <c r="D2" s="238"/>
      <c r="E2" s="238"/>
      <c r="F2" s="238"/>
      <c r="G2" s="238"/>
      <c r="H2" s="238"/>
      <c r="I2" s="101"/>
      <c r="J2" s="101"/>
    </row>
    <row r="3" spans="1:20" ht="15" thickBot="1" x14ac:dyDescent="0.35">
      <c r="A3" s="102"/>
      <c r="B3" s="102"/>
      <c r="C3" s="102"/>
      <c r="D3" s="102"/>
      <c r="E3" s="102"/>
      <c r="F3" s="102"/>
      <c r="G3" s="102"/>
      <c r="H3" s="102"/>
      <c r="I3" s="102"/>
      <c r="J3" s="102"/>
    </row>
    <row r="4" spans="1:20" ht="23.4" customHeight="1" x14ac:dyDescent="0.45">
      <c r="A4" s="239" t="s">
        <v>141</v>
      </c>
      <c r="B4" s="240"/>
      <c r="C4" s="240"/>
      <c r="D4" s="240"/>
      <c r="E4" s="240"/>
      <c r="F4" s="240"/>
      <c r="G4" s="240"/>
      <c r="H4" s="240"/>
      <c r="I4" s="102"/>
      <c r="J4" s="102"/>
      <c r="K4" s="239" t="s">
        <v>141</v>
      </c>
      <c r="L4" s="249"/>
      <c r="M4" s="249"/>
      <c r="N4" s="250"/>
      <c r="O4" s="250"/>
      <c r="P4" s="161"/>
    </row>
    <row r="5" spans="1:20" ht="16.2" thickBot="1" x14ac:dyDescent="0.35">
      <c r="A5" s="103" t="s">
        <v>142</v>
      </c>
      <c r="B5" s="104"/>
      <c r="C5" s="241" t="s">
        <v>143</v>
      </c>
      <c r="D5" s="241"/>
      <c r="E5" s="241" t="s">
        <v>144</v>
      </c>
      <c r="F5" s="241"/>
      <c r="G5" s="241" t="s">
        <v>145</v>
      </c>
      <c r="H5" s="241"/>
      <c r="I5" s="235"/>
      <c r="J5" s="236"/>
      <c r="K5" s="162" t="s">
        <v>142</v>
      </c>
      <c r="L5" s="163"/>
      <c r="M5" s="163" t="s">
        <v>143</v>
      </c>
      <c r="N5" s="163" t="s">
        <v>144</v>
      </c>
      <c r="O5" s="186" t="s">
        <v>145</v>
      </c>
      <c r="P5" s="185" t="s">
        <v>220</v>
      </c>
    </row>
    <row r="6" spans="1:20" ht="16.2" customHeight="1" thickBot="1" x14ac:dyDescent="0.35">
      <c r="A6" s="105" t="s">
        <v>146</v>
      </c>
      <c r="B6" s="106" t="s">
        <v>147</v>
      </c>
      <c r="C6" s="242" t="s">
        <v>148</v>
      </c>
      <c r="D6" s="242"/>
      <c r="E6" s="242" t="s">
        <v>149</v>
      </c>
      <c r="F6" s="242"/>
      <c r="G6" s="242" t="s">
        <v>150</v>
      </c>
      <c r="H6" s="242"/>
      <c r="I6" s="102"/>
      <c r="J6" s="102"/>
      <c r="K6" s="164" t="s">
        <v>146</v>
      </c>
      <c r="L6" s="165" t="s">
        <v>147</v>
      </c>
      <c r="M6" s="251" t="s">
        <v>221</v>
      </c>
      <c r="N6" s="252"/>
      <c r="O6" s="252"/>
      <c r="P6" s="252"/>
    </row>
    <row r="7" spans="1:20" ht="27" customHeight="1" x14ac:dyDescent="0.3">
      <c r="A7" s="107"/>
      <c r="B7" s="108" t="s">
        <v>151</v>
      </c>
      <c r="C7" s="242" t="s">
        <v>152</v>
      </c>
      <c r="D7" s="242"/>
      <c r="E7" s="242" t="s">
        <v>153</v>
      </c>
      <c r="F7" s="242"/>
      <c r="G7" s="242" t="s">
        <v>154</v>
      </c>
      <c r="H7" s="242"/>
      <c r="I7" s="102"/>
      <c r="J7" s="102"/>
      <c r="K7" s="166"/>
      <c r="L7" s="167"/>
      <c r="M7" s="188" t="s">
        <v>222</v>
      </c>
      <c r="N7" s="168"/>
      <c r="O7" s="187" t="s">
        <v>223</v>
      </c>
      <c r="P7" s="253" t="s">
        <v>224</v>
      </c>
    </row>
    <row r="8" spans="1:20" x14ac:dyDescent="0.3">
      <c r="A8" s="102"/>
      <c r="B8" s="102"/>
      <c r="C8" s="102"/>
      <c r="D8" s="102"/>
      <c r="E8" s="102"/>
      <c r="F8" s="102"/>
      <c r="G8" s="109"/>
      <c r="H8" s="110"/>
      <c r="I8" s="102"/>
      <c r="J8" s="102"/>
      <c r="K8" s="166"/>
      <c r="L8" s="153"/>
      <c r="M8" s="169"/>
      <c r="N8" s="170"/>
      <c r="O8" s="184">
        <f>O9-M9</f>
        <v>52.47371744083955</v>
      </c>
      <c r="P8" s="254"/>
    </row>
    <row r="9" spans="1:20" x14ac:dyDescent="0.3">
      <c r="A9" s="111"/>
      <c r="C9" s="243"/>
      <c r="D9" s="244"/>
      <c r="E9" s="243"/>
      <c r="F9" s="244"/>
      <c r="G9" s="243"/>
      <c r="H9" s="244"/>
      <c r="I9" s="102"/>
      <c r="J9" s="102"/>
      <c r="K9" s="171" t="s">
        <v>225</v>
      </c>
      <c r="L9" s="180">
        <f>B10</f>
        <v>8248</v>
      </c>
      <c r="M9" s="180">
        <f>B11</f>
        <v>523</v>
      </c>
      <c r="N9" s="183">
        <f>M9</f>
        <v>523</v>
      </c>
      <c r="O9" s="183">
        <v>575.47371744083955</v>
      </c>
      <c r="P9" s="183">
        <f>O9</f>
        <v>575.47371744083955</v>
      </c>
    </row>
    <row r="10" spans="1:20" x14ac:dyDescent="0.3">
      <c r="A10" s="111" t="s">
        <v>155</v>
      </c>
      <c r="B10" s="159">
        <v>8248</v>
      </c>
      <c r="C10" s="245">
        <f>B10</f>
        <v>8248</v>
      </c>
      <c r="D10" s="246"/>
      <c r="E10" s="245">
        <f>C10</f>
        <v>8248</v>
      </c>
      <c r="F10" s="246"/>
      <c r="G10" s="245">
        <f>E10</f>
        <v>8248</v>
      </c>
      <c r="H10" s="246"/>
      <c r="I10" s="102"/>
      <c r="J10" s="102"/>
      <c r="K10" s="171" t="s">
        <v>226</v>
      </c>
      <c r="L10" s="182">
        <f>L11*L13</f>
        <v>69492688348.155777</v>
      </c>
      <c r="M10" s="182">
        <f>M11*M13</f>
        <v>3235744307.9985218</v>
      </c>
      <c r="N10" s="183">
        <f>M10</f>
        <v>3235744307.9985218</v>
      </c>
      <c r="O10" s="183">
        <f>M10</f>
        <v>3235744307.9985218</v>
      </c>
      <c r="P10" s="183">
        <f>O10</f>
        <v>3235744307.9985218</v>
      </c>
    </row>
    <row r="11" spans="1:20" x14ac:dyDescent="0.3">
      <c r="A11" s="111" t="s">
        <v>156</v>
      </c>
      <c r="B11" s="159">
        <v>523</v>
      </c>
      <c r="C11" s="245">
        <f>B11</f>
        <v>523</v>
      </c>
      <c r="D11" s="246"/>
      <c r="E11" s="245">
        <f t="shared" ref="E11:E19" si="0">C11</f>
        <v>523</v>
      </c>
      <c r="F11" s="246"/>
      <c r="G11" s="245">
        <f t="shared" ref="G11:G19" si="1">E11</f>
        <v>523</v>
      </c>
      <c r="H11" s="246"/>
      <c r="I11" s="102"/>
      <c r="J11" s="102"/>
      <c r="K11" s="171" t="s">
        <v>227</v>
      </c>
      <c r="L11" s="181">
        <f>L9/L12</f>
        <v>248.91736185970368</v>
      </c>
      <c r="M11" s="174">
        <f>M9/M12</f>
        <v>11.673172093110679</v>
      </c>
      <c r="N11" s="174">
        <f>N10/N13</f>
        <v>11.673172093110679</v>
      </c>
      <c r="O11" s="174">
        <f>O10/O13</f>
        <v>11.673172093110679</v>
      </c>
      <c r="P11" s="174">
        <f>P10/P13</f>
        <v>11.673172093110679</v>
      </c>
    </row>
    <row r="12" spans="1:20" x14ac:dyDescent="0.3">
      <c r="A12" s="111" t="s">
        <v>157</v>
      </c>
      <c r="B12" s="114">
        <v>0.10038240900000001</v>
      </c>
      <c r="C12" s="247">
        <f>B12</f>
        <v>0.10038240900000001</v>
      </c>
      <c r="D12" s="248"/>
      <c r="E12" s="247">
        <f t="shared" si="0"/>
        <v>0.10038240900000001</v>
      </c>
      <c r="F12" s="248"/>
      <c r="G12" s="247">
        <f t="shared" si="1"/>
        <v>0.10038240900000001</v>
      </c>
      <c r="H12" s="248"/>
      <c r="I12" s="102"/>
      <c r="J12" s="102"/>
      <c r="K12" s="171" t="s">
        <v>228</v>
      </c>
      <c r="L12" s="175">
        <f>'Profit &amp; Loss'!K14</f>
        <v>33.135495002750304</v>
      </c>
      <c r="M12" s="173">
        <f>'[1]Profit &amp; Loss'!$K$14</f>
        <v>44.803588589999997</v>
      </c>
      <c r="N12" s="173">
        <f>N9/N11</f>
        <v>44.803588589999997</v>
      </c>
      <c r="O12" s="173">
        <f>O9/O11</f>
        <v>49.298829217164972</v>
      </c>
      <c r="P12" s="173">
        <f>P9/P11</f>
        <v>49.298829217164972</v>
      </c>
    </row>
    <row r="13" spans="1:20" x14ac:dyDescent="0.3">
      <c r="A13" s="111" t="s">
        <v>158</v>
      </c>
      <c r="B13" s="158">
        <f>B11*(1+B12)</f>
        <v>575.49999990700007</v>
      </c>
      <c r="C13" s="245">
        <f>C11*(1+C12)</f>
        <v>575.49999990700007</v>
      </c>
      <c r="D13" s="246"/>
      <c r="E13" s="245">
        <f t="shared" si="0"/>
        <v>575.49999990700007</v>
      </c>
      <c r="F13" s="246"/>
      <c r="G13" s="245">
        <f t="shared" si="1"/>
        <v>575.49999990700007</v>
      </c>
      <c r="H13" s="246"/>
      <c r="I13" s="102"/>
      <c r="J13" s="102"/>
      <c r="K13" s="171" t="s">
        <v>229</v>
      </c>
      <c r="L13" s="102">
        <f>B15</f>
        <v>279179756</v>
      </c>
      <c r="M13" s="102">
        <f>B14</f>
        <v>277194946</v>
      </c>
      <c r="N13" s="172">
        <f>M13</f>
        <v>277194946</v>
      </c>
      <c r="O13" s="172">
        <f>M13</f>
        <v>277194946</v>
      </c>
      <c r="P13" s="172">
        <f>O13</f>
        <v>277194946</v>
      </c>
    </row>
    <row r="14" spans="1:20" ht="15" thickBot="1" x14ac:dyDescent="0.35">
      <c r="A14" s="111" t="s">
        <v>159</v>
      </c>
      <c r="B14">
        <v>277194946</v>
      </c>
      <c r="C14" s="243">
        <f>B14</f>
        <v>277194946</v>
      </c>
      <c r="D14" s="244"/>
      <c r="E14" s="243">
        <f t="shared" si="0"/>
        <v>277194946</v>
      </c>
      <c r="F14" s="244"/>
      <c r="G14" s="243">
        <f t="shared" si="1"/>
        <v>277194946</v>
      </c>
      <c r="H14" s="244"/>
      <c r="I14" s="102"/>
      <c r="J14" s="102"/>
      <c r="K14" s="176" t="s">
        <v>230</v>
      </c>
      <c r="L14" s="177"/>
      <c r="M14" s="178">
        <v>0</v>
      </c>
      <c r="N14" s="216">
        <v>1500000000</v>
      </c>
      <c r="O14" s="179">
        <v>0</v>
      </c>
      <c r="P14" s="179">
        <v>0</v>
      </c>
    </row>
    <row r="15" spans="1:20" x14ac:dyDescent="0.3">
      <c r="A15" s="111" t="s">
        <v>219</v>
      </c>
      <c r="B15">
        <v>279179756</v>
      </c>
      <c r="C15" s="243">
        <f>B15</f>
        <v>279179756</v>
      </c>
      <c r="D15" s="244"/>
      <c r="E15" s="243">
        <f t="shared" si="0"/>
        <v>279179756</v>
      </c>
      <c r="F15" s="244"/>
      <c r="G15" s="243">
        <f t="shared" si="1"/>
        <v>279179756</v>
      </c>
      <c r="H15" s="244"/>
      <c r="I15" s="102"/>
      <c r="J15" s="102"/>
    </row>
    <row r="16" spans="1:20" ht="33" x14ac:dyDescent="0.6">
      <c r="A16" s="111" t="s">
        <v>160</v>
      </c>
      <c r="B16" s="158">
        <f>B13*B14</f>
        <v>159525691397.22089</v>
      </c>
      <c r="C16" s="245">
        <f>C13*C14</f>
        <v>159525691397.22089</v>
      </c>
      <c r="D16" s="246"/>
      <c r="E16" s="245">
        <f t="shared" si="0"/>
        <v>159525691397.22089</v>
      </c>
      <c r="F16" s="246"/>
      <c r="G16" s="245">
        <f t="shared" si="1"/>
        <v>159525691397.22089</v>
      </c>
      <c r="H16" s="246"/>
      <c r="I16" s="102"/>
      <c r="J16" s="102"/>
      <c r="K16" s="259" t="s">
        <v>231</v>
      </c>
      <c r="L16" s="260"/>
      <c r="M16" s="260"/>
      <c r="N16" s="260"/>
      <c r="O16" s="260"/>
      <c r="P16" s="260"/>
      <c r="Q16" s="260"/>
      <c r="R16" s="260"/>
      <c r="S16" s="260"/>
      <c r="T16" s="260"/>
    </row>
    <row r="17" spans="1:20" x14ac:dyDescent="0.3">
      <c r="A17" s="111" t="s">
        <v>161</v>
      </c>
      <c r="B17" s="158">
        <f>[1]Valuation!$I$40*10000000</f>
        <v>674599999.99999988</v>
      </c>
      <c r="C17" s="245">
        <f>B17</f>
        <v>674599999.99999988</v>
      </c>
      <c r="D17" s="246"/>
      <c r="E17" s="245">
        <f t="shared" si="0"/>
        <v>674599999.99999988</v>
      </c>
      <c r="F17" s="246"/>
      <c r="G17" s="245">
        <f t="shared" si="1"/>
        <v>674599999.99999988</v>
      </c>
      <c r="H17" s="246"/>
      <c r="I17" s="102"/>
      <c r="J17" s="102"/>
      <c r="K17" s="190" t="s">
        <v>232</v>
      </c>
      <c r="L17" s="190"/>
      <c r="M17" s="190"/>
      <c r="N17" s="190"/>
      <c r="O17" s="190"/>
      <c r="P17" s="190"/>
      <c r="Q17" s="190"/>
      <c r="R17" s="190"/>
      <c r="S17" s="190"/>
      <c r="T17" s="190"/>
    </row>
    <row r="18" spans="1:20" x14ac:dyDescent="0.3">
      <c r="A18" s="111" t="s">
        <v>162</v>
      </c>
      <c r="B18" s="158">
        <f>[1]Valuation!$I$42*10000000</f>
        <v>2349500000</v>
      </c>
      <c r="C18" s="245">
        <f>B18</f>
        <v>2349500000</v>
      </c>
      <c r="D18" s="246"/>
      <c r="E18" s="245">
        <f t="shared" si="0"/>
        <v>2349500000</v>
      </c>
      <c r="F18" s="246"/>
      <c r="G18" s="245">
        <f t="shared" si="1"/>
        <v>2349500000</v>
      </c>
      <c r="H18" s="246"/>
      <c r="I18" s="102"/>
      <c r="J18" s="102"/>
      <c r="K18" s="190" t="s">
        <v>233</v>
      </c>
      <c r="L18" s="190"/>
      <c r="M18" s="190"/>
      <c r="N18" s="190"/>
      <c r="O18" s="190"/>
      <c r="P18" s="190"/>
      <c r="Q18" s="190"/>
      <c r="R18" s="190"/>
      <c r="S18" s="190"/>
      <c r="T18" s="190"/>
    </row>
    <row r="19" spans="1:20" x14ac:dyDescent="0.3">
      <c r="A19" s="111" t="s">
        <v>163</v>
      </c>
      <c r="B19" s="158">
        <f>B16+B17-B18</f>
        <v>157850791397.22089</v>
      </c>
      <c r="C19" s="245">
        <f>C16+C17-C18</f>
        <v>157850791397.22089</v>
      </c>
      <c r="D19" s="246"/>
      <c r="E19" s="245">
        <f t="shared" si="0"/>
        <v>157850791397.22089</v>
      </c>
      <c r="F19" s="246"/>
      <c r="G19" s="245">
        <f t="shared" si="1"/>
        <v>157850791397.22089</v>
      </c>
      <c r="H19" s="246"/>
      <c r="I19" s="102"/>
      <c r="J19" s="102"/>
      <c r="K19" s="190" t="s">
        <v>234</v>
      </c>
      <c r="L19" s="190"/>
      <c r="M19" s="190"/>
      <c r="N19" s="190"/>
      <c r="O19" s="190"/>
      <c r="P19" s="190"/>
      <c r="Q19" s="190"/>
      <c r="R19" s="190"/>
      <c r="S19" s="190"/>
      <c r="T19" s="190"/>
    </row>
    <row r="20" spans="1:20" x14ac:dyDescent="0.3">
      <c r="A20" s="111"/>
      <c r="B20" s="114"/>
      <c r="C20" s="243"/>
      <c r="D20" s="244"/>
      <c r="E20" s="243"/>
      <c r="F20" s="244"/>
      <c r="G20" s="243"/>
      <c r="H20" s="244"/>
      <c r="I20" s="102"/>
      <c r="J20" s="102"/>
      <c r="K20" s="190"/>
      <c r="L20" s="190"/>
      <c r="M20" s="190"/>
      <c r="N20" s="190"/>
      <c r="O20" s="190"/>
      <c r="P20" s="190"/>
      <c r="Q20" s="190"/>
      <c r="R20" s="190"/>
      <c r="S20" s="190"/>
      <c r="T20" s="190"/>
    </row>
    <row r="21" spans="1:20" x14ac:dyDescent="0.3">
      <c r="A21" s="115" t="s">
        <v>164</v>
      </c>
      <c r="B21" s="113"/>
      <c r="C21" s="261"/>
      <c r="D21" s="262"/>
      <c r="E21" s="261"/>
      <c r="F21" s="262"/>
      <c r="G21" s="261"/>
      <c r="H21" s="262"/>
      <c r="I21" s="102"/>
      <c r="J21" s="102"/>
      <c r="K21" s="113"/>
      <c r="L21" s="112" t="s">
        <v>147</v>
      </c>
      <c r="M21" s="112" t="s">
        <v>221</v>
      </c>
      <c r="N21" s="112" t="s">
        <v>235</v>
      </c>
      <c r="O21" s="190"/>
      <c r="P21" s="190"/>
      <c r="Q21" s="190"/>
      <c r="R21" s="190"/>
      <c r="S21" s="190"/>
      <c r="T21" s="190"/>
    </row>
    <row r="22" spans="1:20" x14ac:dyDescent="0.3">
      <c r="A22" s="263" t="s">
        <v>165</v>
      </c>
      <c r="B22" s="264"/>
      <c r="C22" s="116">
        <v>0.5</v>
      </c>
      <c r="D22" s="222">
        <f>C22*B16</f>
        <v>79762845698.610443</v>
      </c>
      <c r="E22" s="116">
        <v>1</v>
      </c>
      <c r="F22" s="160">
        <f>E22*B16</f>
        <v>159525691397.22089</v>
      </c>
      <c r="G22" s="116">
        <v>0</v>
      </c>
      <c r="H22" s="117">
        <f>G22*B16</f>
        <v>0</v>
      </c>
      <c r="I22" s="102"/>
      <c r="J22" s="102"/>
      <c r="K22" s="112" t="s">
        <v>236</v>
      </c>
      <c r="L22" s="213">
        <f>L9</f>
        <v>8248</v>
      </c>
      <c r="M22" s="213">
        <f>M9</f>
        <v>523</v>
      </c>
      <c r="N22" s="113"/>
      <c r="O22" s="190"/>
      <c r="P22" s="190"/>
      <c r="Q22" s="190"/>
      <c r="R22" s="190"/>
      <c r="S22" s="190"/>
      <c r="T22" s="190"/>
    </row>
    <row r="23" spans="1:20" x14ac:dyDescent="0.3">
      <c r="A23" s="263" t="s">
        <v>166</v>
      </c>
      <c r="B23" s="264"/>
      <c r="C23" s="116">
        <f>1-C22</f>
        <v>0.5</v>
      </c>
      <c r="D23" s="117">
        <f>C23*B16</f>
        <v>79762845698.610443</v>
      </c>
      <c r="E23" s="116">
        <f>1-E22</f>
        <v>0</v>
      </c>
      <c r="F23" s="117">
        <f>E23*B16</f>
        <v>0</v>
      </c>
      <c r="G23" s="116">
        <f>1-G22</f>
        <v>1</v>
      </c>
      <c r="H23" s="160">
        <f>G23*B16</f>
        <v>159525691397.22089</v>
      </c>
      <c r="I23" s="102"/>
      <c r="J23" s="102"/>
      <c r="K23" s="112" t="s">
        <v>237</v>
      </c>
      <c r="L23" s="214">
        <f>L12</f>
        <v>33.135495002750304</v>
      </c>
      <c r="M23" s="191">
        <f>M12</f>
        <v>44.803588589999997</v>
      </c>
      <c r="N23" s="113"/>
      <c r="O23" s="190"/>
      <c r="P23" s="190"/>
      <c r="Q23" s="190"/>
      <c r="R23" s="190"/>
      <c r="S23" s="190"/>
      <c r="T23" s="190"/>
    </row>
    <row r="24" spans="1:20" x14ac:dyDescent="0.3">
      <c r="A24" s="111"/>
      <c r="B24" s="113"/>
      <c r="C24" s="265"/>
      <c r="D24" s="266"/>
      <c r="E24" s="265"/>
      <c r="F24" s="266"/>
      <c r="G24" s="265"/>
      <c r="H24" s="266"/>
      <c r="I24" s="102"/>
      <c r="J24" s="102"/>
      <c r="K24" s="112" t="s">
        <v>238</v>
      </c>
      <c r="L24" s="213">
        <f>L22/L23</f>
        <v>248.91736185970368</v>
      </c>
      <c r="M24" s="213">
        <f>M22/M23</f>
        <v>11.673172093110679</v>
      </c>
      <c r="N24" s="118">
        <f>N26/N25</f>
        <v>245.07781120489585</v>
      </c>
      <c r="O24" s="190"/>
      <c r="P24" s="190"/>
      <c r="Q24" s="190"/>
      <c r="R24" s="190"/>
      <c r="S24" s="190"/>
      <c r="T24" s="190"/>
    </row>
    <row r="25" spans="1:20" x14ac:dyDescent="0.3">
      <c r="A25" s="111" t="s">
        <v>167</v>
      </c>
      <c r="B25" s="118"/>
      <c r="C25" s="255">
        <f>C11/C10</f>
        <v>6.3409311348205627E-2</v>
      </c>
      <c r="D25" s="256"/>
      <c r="E25" s="255">
        <f>E11/E10</f>
        <v>6.3409311348205627E-2</v>
      </c>
      <c r="F25" s="256"/>
      <c r="G25" s="255">
        <f>G11/G10</f>
        <v>6.3409311348205627E-2</v>
      </c>
      <c r="H25" s="256"/>
      <c r="I25" s="102"/>
      <c r="J25" s="102"/>
      <c r="K25" s="112" t="s">
        <v>239</v>
      </c>
      <c r="L25" s="113">
        <f>L13</f>
        <v>279179756</v>
      </c>
      <c r="M25" s="113">
        <f>M13</f>
        <v>277194946</v>
      </c>
      <c r="N25" s="192">
        <f>L25+L29</f>
        <v>296756496.63506305</v>
      </c>
      <c r="O25" s="190"/>
      <c r="P25" s="190"/>
      <c r="Q25" s="190"/>
      <c r="R25" s="190"/>
      <c r="S25" s="190"/>
      <c r="T25" s="190"/>
    </row>
    <row r="26" spans="1:20" x14ac:dyDescent="0.3">
      <c r="A26" s="111" t="s">
        <v>168</v>
      </c>
      <c r="B26" s="118"/>
      <c r="C26" s="255">
        <f>C13/C10</f>
        <v>6.9774490774369549E-2</v>
      </c>
      <c r="D26" s="256"/>
      <c r="E26" s="255">
        <f>E13/E10</f>
        <v>6.9774490774369549E-2</v>
      </c>
      <c r="F26" s="256"/>
      <c r="G26" s="255">
        <f>G13/G10</f>
        <v>6.9774490774369549E-2</v>
      </c>
      <c r="H26" s="256"/>
      <c r="I26" s="102"/>
      <c r="J26" s="102"/>
      <c r="K26" s="112" t="s">
        <v>240</v>
      </c>
      <c r="L26" s="213">
        <f>L10</f>
        <v>69492688348.155777</v>
      </c>
      <c r="M26" s="213">
        <f>M10</f>
        <v>3235744307.9985218</v>
      </c>
      <c r="N26" s="158">
        <f>L26+M26</f>
        <v>72728432656.154297</v>
      </c>
      <c r="O26" s="190"/>
      <c r="P26" s="190"/>
      <c r="Q26" s="190"/>
      <c r="R26" s="190"/>
      <c r="S26" s="190"/>
      <c r="T26" s="190"/>
    </row>
    <row r="27" spans="1:20" x14ac:dyDescent="0.3">
      <c r="A27" s="119" t="s">
        <v>169</v>
      </c>
      <c r="B27" s="118"/>
      <c r="C27" s="255">
        <f>C26*C14*0.5</f>
        <v>9670568.1011894327</v>
      </c>
      <c r="D27" s="256"/>
      <c r="E27" s="255">
        <f>E26*E14</f>
        <v>19341136.202378865</v>
      </c>
      <c r="F27" s="256"/>
      <c r="G27" s="255">
        <f>IF(G22&gt;0,(G26*G14),0)</f>
        <v>0</v>
      </c>
      <c r="H27" s="256"/>
      <c r="I27" s="102"/>
      <c r="J27" s="102"/>
      <c r="K27" s="112" t="s">
        <v>241</v>
      </c>
      <c r="L27" s="113"/>
      <c r="M27" s="113"/>
      <c r="N27" s="158">
        <f>M22*M25</f>
        <v>144972956758</v>
      </c>
      <c r="O27" s="190"/>
      <c r="P27" s="190"/>
      <c r="Q27" s="190"/>
      <c r="R27" s="190"/>
      <c r="S27" s="190"/>
      <c r="T27" s="190"/>
    </row>
    <row r="28" spans="1:20" x14ac:dyDescent="0.3">
      <c r="A28" s="119" t="s">
        <v>170</v>
      </c>
      <c r="B28" s="118" t="s">
        <v>171</v>
      </c>
      <c r="C28" s="120"/>
      <c r="D28" s="120"/>
      <c r="E28" s="120"/>
      <c r="F28" s="120"/>
      <c r="G28" s="120"/>
      <c r="H28" s="120"/>
      <c r="I28" s="121"/>
      <c r="J28" s="121"/>
      <c r="K28" s="112" t="s">
        <v>242</v>
      </c>
      <c r="L28" s="193">
        <f>M22/L22</f>
        <v>6.3409311348205627E-2</v>
      </c>
      <c r="M28" s="113"/>
      <c r="N28" s="113"/>
      <c r="O28" s="190"/>
      <c r="P28" s="190"/>
      <c r="Q28" s="190"/>
      <c r="R28" s="190"/>
      <c r="S28" s="190"/>
      <c r="T28" s="190"/>
    </row>
    <row r="29" spans="1:20" x14ac:dyDescent="0.3">
      <c r="A29" s="119" t="s">
        <v>172</v>
      </c>
      <c r="B29" s="118" t="s">
        <v>173</v>
      </c>
      <c r="C29" s="102"/>
      <c r="D29" s="102"/>
      <c r="E29" s="102"/>
      <c r="F29" s="102"/>
      <c r="G29" s="102"/>
      <c r="H29" s="102"/>
      <c r="I29" s="121"/>
      <c r="J29" s="121"/>
      <c r="K29" s="112" t="s">
        <v>243</v>
      </c>
      <c r="L29" s="192">
        <f>L28*M25</f>
        <v>17576740.635063045</v>
      </c>
      <c r="M29" s="113"/>
      <c r="N29" s="113"/>
      <c r="O29" s="190"/>
      <c r="P29" s="190"/>
      <c r="Q29" s="190"/>
      <c r="R29" s="190"/>
      <c r="S29" s="190"/>
      <c r="T29" s="190"/>
    </row>
    <row r="30" spans="1:20" x14ac:dyDescent="0.3">
      <c r="A30" s="122"/>
      <c r="B30" s="122"/>
      <c r="C30" s="102"/>
      <c r="D30" s="102"/>
      <c r="E30" s="102"/>
      <c r="F30" s="102"/>
      <c r="G30" s="102"/>
      <c r="H30" s="102"/>
      <c r="I30" s="121"/>
      <c r="J30" s="121"/>
      <c r="K30" s="112" t="s">
        <v>244</v>
      </c>
      <c r="L30" s="192"/>
      <c r="M30" s="113"/>
      <c r="N30" s="192">
        <f>L25+L29</f>
        <v>296756496.63506305</v>
      </c>
      <c r="O30" s="190"/>
      <c r="P30" s="190"/>
      <c r="Q30" s="190"/>
      <c r="R30" s="190"/>
      <c r="S30" s="190"/>
      <c r="T30" s="190"/>
    </row>
    <row r="31" spans="1:20" x14ac:dyDescent="0.3">
      <c r="A31" s="122"/>
      <c r="B31" s="122"/>
      <c r="C31" s="102"/>
      <c r="D31" s="102"/>
      <c r="E31" s="102"/>
      <c r="F31" s="102"/>
      <c r="G31" s="102"/>
      <c r="H31" s="102"/>
      <c r="I31" s="121"/>
      <c r="J31" s="121"/>
      <c r="K31" s="112" t="s">
        <v>245</v>
      </c>
      <c r="L31" s="192"/>
      <c r="M31" s="113"/>
      <c r="N31" s="158">
        <f>L26+M26</f>
        <v>72728432656.154297</v>
      </c>
      <c r="O31" s="190"/>
      <c r="P31" s="190"/>
      <c r="Q31" s="190"/>
      <c r="R31" s="190"/>
      <c r="S31" s="190"/>
      <c r="T31" s="190"/>
    </row>
    <row r="32" spans="1:20" x14ac:dyDescent="0.3">
      <c r="A32" s="122"/>
      <c r="B32" s="122"/>
      <c r="C32" s="102"/>
      <c r="D32" s="102"/>
      <c r="E32" s="102"/>
      <c r="F32" s="102"/>
      <c r="G32" s="102"/>
      <c r="H32" s="102"/>
      <c r="I32" s="121"/>
      <c r="J32" s="121"/>
      <c r="K32" s="112" t="s">
        <v>246</v>
      </c>
      <c r="L32" s="192"/>
      <c r="M32" s="113"/>
      <c r="N32" s="118">
        <f>N31/N30</f>
        <v>245.07781120489585</v>
      </c>
      <c r="O32" s="190"/>
      <c r="P32" s="190"/>
      <c r="Q32" s="190"/>
      <c r="R32" s="190"/>
      <c r="S32" s="190"/>
      <c r="T32" s="190"/>
    </row>
    <row r="33" spans="1:20" ht="33" customHeight="1" x14ac:dyDescent="0.6">
      <c r="A33" s="257" t="s">
        <v>174</v>
      </c>
      <c r="B33" s="257"/>
      <c r="C33" s="257"/>
      <c r="D33" s="257"/>
      <c r="E33" s="257"/>
      <c r="F33" s="257"/>
      <c r="G33" s="257"/>
      <c r="H33" s="123"/>
      <c r="I33" s="102"/>
      <c r="J33" s="102"/>
      <c r="K33" s="112" t="s">
        <v>247</v>
      </c>
      <c r="L33" s="192"/>
      <c r="M33" s="113"/>
      <c r="N33" s="118">
        <f>L24</f>
        <v>248.91736185970368</v>
      </c>
      <c r="O33" s="190"/>
      <c r="P33" s="190"/>
      <c r="Q33" s="190"/>
      <c r="R33" s="190"/>
      <c r="S33" s="190"/>
      <c r="T33" s="190"/>
    </row>
    <row r="34" spans="1:20" ht="15.6" x14ac:dyDescent="0.3">
      <c r="A34" s="125" t="s">
        <v>175</v>
      </c>
      <c r="B34" s="126">
        <f>Valuation!F14*10000000</f>
        <v>82472300000.000031</v>
      </c>
      <c r="C34" s="125"/>
      <c r="D34" s="127"/>
      <c r="E34" s="127"/>
      <c r="F34" s="127"/>
      <c r="G34" s="127"/>
      <c r="H34" s="127"/>
      <c r="I34" s="102"/>
      <c r="J34" s="102"/>
      <c r="K34" s="194" t="s">
        <v>248</v>
      </c>
      <c r="L34" s="195"/>
      <c r="M34" s="196"/>
      <c r="N34" s="195">
        <f>N24/L24-1</f>
        <v>-1.542500139854408E-2</v>
      </c>
      <c r="O34" s="190"/>
      <c r="P34" s="190"/>
      <c r="Q34" s="190"/>
      <c r="R34" s="190"/>
      <c r="S34" s="190"/>
      <c r="T34" s="190"/>
    </row>
    <row r="35" spans="1:20" ht="15.6" x14ac:dyDescent="0.3">
      <c r="A35" s="125" t="s">
        <v>176</v>
      </c>
      <c r="B35" s="126">
        <f>[1]Valuation!$F$14*10000000</f>
        <v>2646200000</v>
      </c>
      <c r="C35" s="125"/>
      <c r="D35" s="127"/>
      <c r="E35" s="127"/>
      <c r="F35" s="127"/>
      <c r="G35" s="127"/>
      <c r="H35" s="127"/>
      <c r="I35" s="102"/>
      <c r="J35" s="102"/>
      <c r="K35" s="197"/>
      <c r="L35" s="198"/>
      <c r="M35" s="127"/>
      <c r="N35" s="127"/>
      <c r="O35" s="127"/>
      <c r="P35" s="127"/>
      <c r="Q35" s="127"/>
      <c r="R35" s="127"/>
      <c r="S35" s="127"/>
      <c r="T35" s="127"/>
    </row>
    <row r="36" spans="1:20" ht="15.6" x14ac:dyDescent="0.3">
      <c r="A36" s="125" t="s">
        <v>177</v>
      </c>
      <c r="B36" s="126">
        <f>300*10000000</f>
        <v>3000000000</v>
      </c>
      <c r="C36" s="125"/>
      <c r="D36" s="127"/>
      <c r="E36" s="127"/>
      <c r="F36" s="127"/>
      <c r="G36" s="127"/>
      <c r="H36" s="127"/>
      <c r="I36" s="102"/>
      <c r="J36" s="102"/>
      <c r="K36" s="197"/>
      <c r="L36" s="198"/>
      <c r="M36" s="127"/>
      <c r="N36" s="127"/>
      <c r="O36" s="127"/>
      <c r="P36" s="127"/>
      <c r="Q36" s="127"/>
      <c r="R36" s="127"/>
      <c r="S36" s="127"/>
      <c r="T36" s="127"/>
    </row>
    <row r="37" spans="1:20" ht="15.6" x14ac:dyDescent="0.3">
      <c r="A37" s="128" t="s">
        <v>178</v>
      </c>
      <c r="B37" s="129">
        <f>SUM(B34:B36)</f>
        <v>88118500000.000031</v>
      </c>
      <c r="C37" s="125"/>
      <c r="D37" s="127"/>
      <c r="E37" s="127"/>
      <c r="F37" s="127"/>
      <c r="G37" s="127"/>
      <c r="H37" s="127"/>
      <c r="I37" s="102"/>
      <c r="J37" s="102"/>
      <c r="K37" s="197"/>
      <c r="L37" s="198"/>
      <c r="M37" s="127"/>
      <c r="N37" s="127"/>
      <c r="O37" s="127"/>
      <c r="P37" s="127"/>
      <c r="Q37" s="127"/>
      <c r="R37" s="127"/>
      <c r="S37" s="127"/>
      <c r="T37" s="127"/>
    </row>
    <row r="38" spans="1:20" ht="15.6" x14ac:dyDescent="0.3">
      <c r="A38" s="125" t="s">
        <v>179</v>
      </c>
      <c r="B38" s="126">
        <v>0</v>
      </c>
      <c r="C38" s="125"/>
      <c r="D38" s="127"/>
      <c r="E38" s="127"/>
      <c r="F38" s="127"/>
      <c r="G38" s="127"/>
      <c r="H38" s="127"/>
      <c r="I38" s="102"/>
      <c r="J38" s="102"/>
      <c r="K38" s="190"/>
      <c r="L38" s="190"/>
      <c r="M38" s="190"/>
      <c r="N38" s="190"/>
      <c r="O38" s="190"/>
      <c r="P38" s="190"/>
      <c r="Q38" s="190"/>
      <c r="R38" s="190"/>
      <c r="S38" s="190"/>
      <c r="T38" s="190"/>
    </row>
    <row r="39" spans="1:20" ht="33" x14ac:dyDescent="0.6">
      <c r="A39" s="125" t="s">
        <v>180</v>
      </c>
      <c r="B39" s="126">
        <v>0</v>
      </c>
      <c r="C39" s="125"/>
      <c r="D39" s="127"/>
      <c r="E39" s="127"/>
      <c r="F39" s="127"/>
      <c r="G39" s="127"/>
      <c r="H39" s="127"/>
      <c r="I39" s="102"/>
      <c r="J39" s="102"/>
      <c r="K39" s="259" t="s">
        <v>263</v>
      </c>
      <c r="L39" s="260"/>
      <c r="M39" s="260"/>
      <c r="N39" s="260"/>
      <c r="O39" s="260"/>
      <c r="P39" s="260"/>
      <c r="Q39" s="260"/>
      <c r="R39" s="260"/>
      <c r="S39" s="260"/>
      <c r="T39" s="260"/>
    </row>
    <row r="40" spans="1:20" ht="15.6" x14ac:dyDescent="0.3">
      <c r="A40" s="125" t="s">
        <v>181</v>
      </c>
      <c r="B40" s="126">
        <v>0</v>
      </c>
      <c r="C40" s="125"/>
      <c r="D40" s="127"/>
      <c r="E40" s="127"/>
      <c r="F40" s="127"/>
      <c r="G40" s="127"/>
      <c r="H40" s="127"/>
      <c r="I40" s="102"/>
      <c r="J40" s="102"/>
      <c r="K40" s="190" t="s">
        <v>232</v>
      </c>
      <c r="L40" s="190"/>
      <c r="M40" s="190"/>
      <c r="N40" s="190"/>
      <c r="O40" s="190"/>
      <c r="P40" s="190"/>
      <c r="Q40" s="190"/>
      <c r="R40" s="190"/>
      <c r="S40" s="190"/>
      <c r="T40" s="190"/>
    </row>
    <row r="41" spans="1:20" ht="15.6" x14ac:dyDescent="0.3">
      <c r="A41" s="125" t="s">
        <v>182</v>
      </c>
      <c r="B41" s="130">
        <v>0.05</v>
      </c>
      <c r="C41" s="125"/>
      <c r="D41" s="127"/>
      <c r="E41" s="127"/>
      <c r="F41" s="127"/>
      <c r="G41" s="127"/>
      <c r="H41" s="127"/>
      <c r="I41" s="102"/>
      <c r="J41" s="102"/>
      <c r="K41" s="190" t="s">
        <v>233</v>
      </c>
      <c r="L41" s="190"/>
      <c r="M41" s="190"/>
      <c r="N41" s="190"/>
      <c r="O41" s="190"/>
      <c r="P41" s="190"/>
      <c r="Q41" s="190"/>
      <c r="R41" s="190"/>
      <c r="S41" s="190"/>
      <c r="T41" s="190"/>
    </row>
    <row r="42" spans="1:20" ht="15.6" x14ac:dyDescent="0.3">
      <c r="A42" s="125" t="s">
        <v>183</v>
      </c>
      <c r="B42" s="130">
        <v>0.05</v>
      </c>
      <c r="C42" s="125"/>
      <c r="D42" s="127"/>
      <c r="E42" s="127"/>
      <c r="F42" s="127"/>
      <c r="G42" s="127"/>
      <c r="H42" s="127"/>
      <c r="I42" s="102"/>
      <c r="J42" s="102"/>
      <c r="K42" s="190" t="s">
        <v>234</v>
      </c>
      <c r="L42" s="190"/>
      <c r="M42" s="190"/>
      <c r="N42" s="190"/>
      <c r="O42" s="190"/>
      <c r="P42" s="190"/>
      <c r="Q42" s="190"/>
      <c r="R42" s="190"/>
      <c r="S42" s="190"/>
      <c r="T42" s="190"/>
    </row>
    <row r="43" spans="1:20" ht="15.6" x14ac:dyDescent="0.3">
      <c r="A43" s="128" t="s">
        <v>184</v>
      </c>
      <c r="B43" s="129">
        <f>B37-B38-B39-B40</f>
        <v>88118500000.000031</v>
      </c>
      <c r="C43" s="125"/>
      <c r="D43" s="127"/>
      <c r="E43" s="127"/>
      <c r="F43" s="127"/>
      <c r="G43" s="127"/>
      <c r="H43" s="127"/>
      <c r="I43" s="102"/>
      <c r="J43" s="102"/>
      <c r="K43" s="190" t="s">
        <v>253</v>
      </c>
      <c r="L43" s="190"/>
      <c r="M43" s="190"/>
      <c r="N43" s="190"/>
      <c r="O43" s="190"/>
      <c r="P43" s="190"/>
      <c r="Q43" s="190"/>
      <c r="R43" s="190"/>
      <c r="S43" s="190"/>
      <c r="T43" s="190"/>
    </row>
    <row r="44" spans="1:20" ht="15.6" x14ac:dyDescent="0.3">
      <c r="A44" s="125" t="s">
        <v>267</v>
      </c>
      <c r="B44" s="131">
        <v>0.26</v>
      </c>
      <c r="C44" s="125"/>
      <c r="D44" s="127"/>
      <c r="E44" s="127"/>
      <c r="F44" s="127"/>
      <c r="G44" s="127"/>
      <c r="H44" s="127"/>
      <c r="I44" s="102"/>
      <c r="J44" s="102"/>
      <c r="K44" s="113"/>
      <c r="L44" s="112" t="s">
        <v>147</v>
      </c>
      <c r="M44" s="112" t="s">
        <v>221</v>
      </c>
      <c r="N44" s="112" t="s">
        <v>249</v>
      </c>
      <c r="O44" s="190"/>
      <c r="P44" s="190"/>
      <c r="Q44" s="190"/>
      <c r="R44" s="190"/>
      <c r="S44" s="190"/>
      <c r="T44" s="190"/>
    </row>
    <row r="45" spans="1:20" ht="15.6" x14ac:dyDescent="0.3">
      <c r="A45" s="125" t="s">
        <v>185</v>
      </c>
      <c r="B45" s="132">
        <f>B44*B43</f>
        <v>22910810000.000008</v>
      </c>
      <c r="C45" s="125"/>
      <c r="D45" s="127"/>
      <c r="E45" s="127"/>
      <c r="F45" s="127"/>
      <c r="G45" s="127"/>
      <c r="H45" s="127"/>
      <c r="I45" s="102"/>
      <c r="J45" s="102"/>
      <c r="K45" s="112" t="s">
        <v>236</v>
      </c>
      <c r="L45" s="213">
        <f>L9</f>
        <v>8248</v>
      </c>
      <c r="M45" s="213">
        <f>N9</f>
        <v>523</v>
      </c>
      <c r="N45" s="113"/>
      <c r="O45" s="190"/>
      <c r="P45" s="190"/>
      <c r="Q45" s="190"/>
      <c r="R45" s="190"/>
      <c r="S45" s="190"/>
      <c r="T45" s="190"/>
    </row>
    <row r="46" spans="1:20" ht="15.6" x14ac:dyDescent="0.3">
      <c r="A46" s="128" t="s">
        <v>186</v>
      </c>
      <c r="B46" s="129">
        <f>B43-B45</f>
        <v>65207690000.000023</v>
      </c>
      <c r="C46" s="125"/>
      <c r="D46" s="127"/>
      <c r="E46" s="127"/>
      <c r="F46" s="127"/>
      <c r="G46" s="127"/>
      <c r="H46" s="127"/>
      <c r="I46" s="102"/>
      <c r="J46" s="102"/>
      <c r="K46" s="112" t="s">
        <v>237</v>
      </c>
      <c r="L46" s="199">
        <f>L45/L47</f>
        <v>33.135495002750304</v>
      </c>
      <c r="M46" s="200">
        <f>M45/M47</f>
        <v>44.803588589999997</v>
      </c>
      <c r="N46" s="113"/>
      <c r="O46" s="190"/>
      <c r="P46" s="190"/>
      <c r="Q46" s="190"/>
      <c r="R46" s="190"/>
      <c r="S46" s="190"/>
      <c r="T46" s="190"/>
    </row>
    <row r="47" spans="1:20" ht="15.6" x14ac:dyDescent="0.3">
      <c r="A47" s="128" t="s">
        <v>187</v>
      </c>
      <c r="B47" s="129">
        <f>B34*(1-26%)</f>
        <v>61029502000.000023</v>
      </c>
      <c r="C47" s="125"/>
      <c r="D47" s="127"/>
      <c r="E47" s="127"/>
      <c r="F47" s="127"/>
      <c r="G47" s="127"/>
      <c r="H47" s="127"/>
      <c r="I47" s="102"/>
      <c r="J47" s="102"/>
      <c r="K47" s="112" t="s">
        <v>238</v>
      </c>
      <c r="L47" s="113">
        <f>L49/L48</f>
        <v>248.91736185970368</v>
      </c>
      <c r="M47" s="113">
        <f>M49/M48</f>
        <v>11.673172093110679</v>
      </c>
      <c r="N47" s="118">
        <f>N49/N48</f>
        <v>245.07781120489585</v>
      </c>
      <c r="O47" s="190"/>
      <c r="P47" s="190"/>
      <c r="Q47" s="190"/>
      <c r="R47" s="190"/>
      <c r="S47" s="190"/>
      <c r="T47" s="190"/>
    </row>
    <row r="48" spans="1:20" ht="15.6" x14ac:dyDescent="0.3">
      <c r="A48" s="128"/>
      <c r="B48" s="129"/>
      <c r="C48" s="125"/>
      <c r="D48" s="127"/>
      <c r="E48" s="127"/>
      <c r="F48" s="127"/>
      <c r="G48" s="127"/>
      <c r="H48" s="127"/>
      <c r="I48" s="102"/>
      <c r="J48" s="102"/>
      <c r="K48" s="112" t="s">
        <v>239</v>
      </c>
      <c r="L48" s="113">
        <f>L13</f>
        <v>279179756</v>
      </c>
      <c r="M48" s="113">
        <f>N13</f>
        <v>277194946</v>
      </c>
      <c r="N48" s="192">
        <f>N53</f>
        <v>296756496.63506305</v>
      </c>
      <c r="O48" s="190"/>
      <c r="P48" s="190"/>
      <c r="Q48" s="190"/>
      <c r="R48" s="190"/>
      <c r="S48" s="190"/>
      <c r="T48" s="190"/>
    </row>
    <row r="49" spans="1:20" ht="15.6" x14ac:dyDescent="0.3">
      <c r="A49" s="128" t="s">
        <v>188</v>
      </c>
      <c r="B49" s="126"/>
      <c r="C49" s="125"/>
      <c r="D49" s="127"/>
      <c r="E49" s="127"/>
      <c r="F49" s="127"/>
      <c r="G49" s="127"/>
      <c r="H49" s="127"/>
      <c r="I49" s="102"/>
      <c r="J49" s="102"/>
      <c r="K49" s="112" t="s">
        <v>240</v>
      </c>
      <c r="L49" s="213">
        <f>L10</f>
        <v>69492688348.155777</v>
      </c>
      <c r="M49" s="213">
        <f>N10</f>
        <v>3235744307.9985218</v>
      </c>
      <c r="N49" s="158">
        <f>N54</f>
        <v>72728432656.154297</v>
      </c>
      <c r="O49" s="190"/>
      <c r="P49" s="190"/>
      <c r="Q49" s="190"/>
      <c r="R49" s="190"/>
      <c r="S49" s="190"/>
      <c r="T49" s="190"/>
    </row>
    <row r="50" spans="1:20" ht="15.6" x14ac:dyDescent="0.3">
      <c r="A50" s="125" t="s">
        <v>189</v>
      </c>
      <c r="B50" s="126">
        <f>B15</f>
        <v>279179756</v>
      </c>
      <c r="C50" s="125"/>
      <c r="D50" s="127"/>
      <c r="E50" s="127"/>
      <c r="F50" s="127"/>
      <c r="G50" s="127"/>
      <c r="H50" s="127"/>
      <c r="I50" s="102"/>
      <c r="J50" s="102"/>
      <c r="K50" s="112" t="s">
        <v>241</v>
      </c>
      <c r="L50" s="113"/>
      <c r="M50" s="113"/>
      <c r="N50" s="158">
        <f>M45*M48</f>
        <v>144972956758</v>
      </c>
      <c r="O50" s="190"/>
      <c r="P50" s="190"/>
      <c r="Q50" s="190"/>
      <c r="R50" s="190"/>
      <c r="S50" s="190"/>
      <c r="T50" s="190"/>
    </row>
    <row r="51" spans="1:20" ht="15.6" x14ac:dyDescent="0.3">
      <c r="A51" s="125" t="s">
        <v>190</v>
      </c>
      <c r="B51" s="133">
        <f>B27</f>
        <v>0</v>
      </c>
      <c r="C51" s="125"/>
      <c r="D51" s="127"/>
      <c r="E51" s="127"/>
      <c r="F51" s="127"/>
      <c r="G51" s="127"/>
      <c r="H51" s="127"/>
      <c r="I51" s="102"/>
      <c r="J51" s="102"/>
      <c r="K51" s="112" t="s">
        <v>242</v>
      </c>
      <c r="L51" s="193">
        <f>M45/L45</f>
        <v>6.3409311348205627E-2</v>
      </c>
      <c r="M51" s="113"/>
      <c r="N51" s="113"/>
      <c r="O51" s="190"/>
      <c r="P51" s="190"/>
      <c r="Q51" s="190"/>
      <c r="R51" s="190"/>
      <c r="S51" s="190"/>
      <c r="T51" s="190"/>
    </row>
    <row r="52" spans="1:20" ht="15.6" x14ac:dyDescent="0.3">
      <c r="A52" s="125" t="s">
        <v>191</v>
      </c>
      <c r="B52" s="133">
        <f>B50+B51</f>
        <v>279179756</v>
      </c>
      <c r="C52" s="125"/>
      <c r="D52" s="127"/>
      <c r="E52" s="127"/>
      <c r="F52" s="127"/>
      <c r="G52" s="127"/>
      <c r="H52" s="127"/>
      <c r="I52" s="102"/>
      <c r="J52" s="102"/>
      <c r="K52" s="112" t="s">
        <v>243</v>
      </c>
      <c r="L52" s="192">
        <f>L51*M48</f>
        <v>17576740.635063045</v>
      </c>
      <c r="M52" s="113"/>
      <c r="N52" s="113"/>
      <c r="O52" s="190"/>
      <c r="P52" s="190"/>
      <c r="Q52" s="190"/>
      <c r="R52" s="190"/>
      <c r="S52" s="190"/>
      <c r="T52" s="190"/>
    </row>
    <row r="53" spans="1:20" ht="15.6" x14ac:dyDescent="0.3">
      <c r="A53" s="125" t="s">
        <v>192</v>
      </c>
      <c r="B53" s="131">
        <v>0.1</v>
      </c>
      <c r="C53" s="134"/>
      <c r="D53" s="134"/>
      <c r="E53" s="134"/>
      <c r="F53" s="134"/>
      <c r="G53" s="134"/>
      <c r="H53" s="134"/>
      <c r="I53" s="135"/>
      <c r="J53" s="135"/>
      <c r="K53" s="112" t="s">
        <v>244</v>
      </c>
      <c r="L53" s="192"/>
      <c r="M53" s="113"/>
      <c r="N53" s="192">
        <f>L52+L48</f>
        <v>296756496.63506305</v>
      </c>
      <c r="O53" s="190"/>
      <c r="P53" s="190"/>
      <c r="Q53" s="190"/>
      <c r="R53" s="190"/>
      <c r="S53" s="190"/>
      <c r="T53" s="190"/>
    </row>
    <row r="54" spans="1:20" ht="15.6" x14ac:dyDescent="0.3">
      <c r="A54" s="125" t="s">
        <v>193</v>
      </c>
      <c r="B54" s="136">
        <v>7.4999999999999997E-2</v>
      </c>
      <c r="C54" s="134"/>
      <c r="D54" s="134"/>
      <c r="E54" s="134"/>
      <c r="F54" s="134"/>
      <c r="G54" s="134"/>
      <c r="H54" s="134"/>
      <c r="I54" s="135"/>
      <c r="J54" s="135"/>
      <c r="K54" s="112" t="s">
        <v>245</v>
      </c>
      <c r="L54" s="192"/>
      <c r="M54" s="113"/>
      <c r="N54" s="158">
        <f>L49+M49</f>
        <v>72728432656.154297</v>
      </c>
      <c r="O54" s="190"/>
      <c r="P54" s="190"/>
      <c r="Q54" s="190"/>
      <c r="R54" s="190"/>
      <c r="S54" s="190"/>
      <c r="T54" s="190"/>
    </row>
    <row r="55" spans="1:20" ht="15.6" x14ac:dyDescent="0.3">
      <c r="A55" s="125" t="s">
        <v>194</v>
      </c>
      <c r="B55" s="131">
        <v>0.105</v>
      </c>
      <c r="C55" s="134"/>
      <c r="D55" s="134"/>
      <c r="E55" s="134"/>
      <c r="F55" s="134"/>
      <c r="G55" s="134"/>
      <c r="H55" s="134"/>
      <c r="I55" s="135"/>
      <c r="J55" s="135"/>
      <c r="K55" s="112" t="s">
        <v>251</v>
      </c>
      <c r="L55" s="215">
        <f>N14</f>
        <v>1500000000</v>
      </c>
      <c r="M55" s="113"/>
      <c r="N55" s="192"/>
      <c r="O55" s="190"/>
      <c r="P55" s="190"/>
      <c r="Q55" s="190"/>
      <c r="R55" s="190"/>
      <c r="S55" s="190"/>
      <c r="T55" s="190"/>
    </row>
    <row r="56" spans="1:20" ht="15.6" x14ac:dyDescent="0.3">
      <c r="A56" s="125" t="s">
        <v>195</v>
      </c>
      <c r="B56" s="131">
        <v>0.05</v>
      </c>
      <c r="C56" s="134"/>
      <c r="D56" s="134"/>
      <c r="E56" s="134"/>
      <c r="F56" s="134"/>
      <c r="G56" s="134"/>
      <c r="H56" s="134"/>
      <c r="I56" s="135"/>
      <c r="J56" s="135"/>
      <c r="K56" s="112" t="s">
        <v>252</v>
      </c>
      <c r="L56" s="192"/>
      <c r="M56" s="113"/>
      <c r="N56" s="158">
        <f>N54+L55</f>
        <v>74228432656.154297</v>
      </c>
      <c r="O56" s="190"/>
      <c r="P56" s="190"/>
      <c r="Q56" s="190"/>
      <c r="R56" s="190"/>
      <c r="S56" s="190"/>
      <c r="T56" s="190"/>
    </row>
    <row r="57" spans="1:20" ht="15.6" x14ac:dyDescent="0.3">
      <c r="A57" s="135"/>
      <c r="B57" s="137"/>
      <c r="C57" s="134"/>
      <c r="D57" s="134"/>
      <c r="E57" s="134"/>
      <c r="F57" s="134"/>
      <c r="G57" s="134"/>
      <c r="H57" s="134"/>
      <c r="I57" s="135"/>
      <c r="J57" s="135"/>
      <c r="K57" s="112" t="s">
        <v>246</v>
      </c>
      <c r="L57" s="192"/>
      <c r="M57" s="113"/>
      <c r="N57" s="118">
        <f>N56/N53</f>
        <v>250.13246044428431</v>
      </c>
      <c r="O57" s="190"/>
      <c r="P57" s="190"/>
      <c r="Q57" s="190"/>
      <c r="R57" s="190"/>
      <c r="S57" s="190"/>
      <c r="T57" s="190"/>
    </row>
    <row r="58" spans="1:20" ht="15.6" x14ac:dyDescent="0.3">
      <c r="A58" s="135"/>
      <c r="B58" s="137"/>
      <c r="C58" s="134"/>
      <c r="D58" s="134"/>
      <c r="E58" s="134"/>
      <c r="F58" s="134"/>
      <c r="G58" s="134"/>
      <c r="H58" s="134"/>
      <c r="I58" s="135"/>
      <c r="J58" s="135"/>
      <c r="K58" s="112" t="s">
        <v>247</v>
      </c>
      <c r="L58" s="192"/>
      <c r="M58" s="113"/>
      <c r="N58" s="118">
        <f>L47</f>
        <v>248.91736185970368</v>
      </c>
      <c r="O58" s="190"/>
      <c r="P58" s="190"/>
      <c r="Q58" s="190"/>
      <c r="R58" s="190"/>
      <c r="S58" s="190"/>
      <c r="T58" s="190"/>
    </row>
    <row r="59" spans="1:20" ht="33" customHeight="1" x14ac:dyDescent="0.6">
      <c r="A59" s="257" t="s">
        <v>196</v>
      </c>
      <c r="B59" s="257"/>
      <c r="C59" s="257"/>
      <c r="D59" s="257"/>
      <c r="E59" s="257"/>
      <c r="F59" s="257"/>
      <c r="G59" s="257"/>
      <c r="H59" s="102"/>
      <c r="I59" s="102"/>
      <c r="J59" s="102"/>
      <c r="K59" s="112" t="s">
        <v>248</v>
      </c>
      <c r="L59" s="202"/>
      <c r="M59" s="113"/>
      <c r="N59" s="202">
        <f>N57/N58-1</f>
        <v>4.8815340782275563E-3</v>
      </c>
      <c r="O59" s="190"/>
      <c r="P59" s="190"/>
      <c r="Q59" s="190"/>
      <c r="R59" s="190"/>
      <c r="S59" s="190"/>
      <c r="T59" s="190"/>
    </row>
    <row r="60" spans="1:20" ht="15.6" x14ac:dyDescent="0.3">
      <c r="A60" s="138" t="s">
        <v>197</v>
      </c>
      <c r="B60" s="139" t="s">
        <v>198</v>
      </c>
      <c r="C60" s="139" t="s">
        <v>199</v>
      </c>
      <c r="D60" s="139" t="s">
        <v>200</v>
      </c>
      <c r="E60" s="139" t="s">
        <v>201</v>
      </c>
      <c r="F60" s="139" t="s">
        <v>202</v>
      </c>
      <c r="G60" s="139" t="s">
        <v>203</v>
      </c>
      <c r="H60" s="102"/>
      <c r="I60" s="102"/>
      <c r="J60" s="102"/>
      <c r="K60" s="197"/>
      <c r="L60" s="198"/>
      <c r="M60" s="127"/>
      <c r="N60" s="198"/>
      <c r="O60" s="127"/>
      <c r="P60" s="127"/>
      <c r="Q60" s="127"/>
      <c r="R60" s="127"/>
      <c r="S60" s="127"/>
      <c r="T60" s="127"/>
    </row>
    <row r="61" spans="1:20" ht="15.6" x14ac:dyDescent="0.3">
      <c r="A61" s="140" t="s">
        <v>175</v>
      </c>
      <c r="B61" s="126">
        <f>B34</f>
        <v>82472300000.000031</v>
      </c>
      <c r="C61" s="126">
        <f>B61*(1+$B$65)</f>
        <v>90719530000.000046</v>
      </c>
      <c r="D61" s="126">
        <f t="shared" ref="D61:G61" si="2">C61*(1+$B$65)</f>
        <v>99791483000.000061</v>
      </c>
      <c r="E61" s="126">
        <f t="shared" si="2"/>
        <v>109770631300.00008</v>
      </c>
      <c r="F61" s="126">
        <f t="shared" si="2"/>
        <v>120747694430.00009</v>
      </c>
      <c r="G61" s="126">
        <f t="shared" si="2"/>
        <v>132822463873.00011</v>
      </c>
      <c r="H61" s="102"/>
      <c r="I61" s="102"/>
      <c r="J61" s="102"/>
      <c r="K61" s="197"/>
      <c r="L61" s="198"/>
      <c r="M61" s="127"/>
      <c r="N61" s="198"/>
      <c r="O61" s="127"/>
      <c r="P61" s="127"/>
      <c r="Q61" s="127"/>
      <c r="R61" s="127"/>
      <c r="S61" s="127"/>
      <c r="T61" s="127"/>
    </row>
    <row r="62" spans="1:20" ht="15.6" x14ac:dyDescent="0.3">
      <c r="A62" s="140" t="s">
        <v>176</v>
      </c>
      <c r="B62" s="126">
        <f>B35</f>
        <v>2646200000</v>
      </c>
      <c r="C62" s="129"/>
      <c r="D62" s="129"/>
      <c r="E62" s="129"/>
      <c r="F62" s="129"/>
      <c r="G62" s="129"/>
      <c r="H62" s="102"/>
      <c r="I62" s="102"/>
      <c r="J62" s="102"/>
      <c r="K62" s="190"/>
      <c r="L62" s="190"/>
      <c r="M62" s="190"/>
      <c r="N62" s="190"/>
      <c r="O62" s="190"/>
      <c r="P62" s="190"/>
      <c r="Q62" s="190"/>
      <c r="R62" s="190"/>
      <c r="S62" s="190"/>
      <c r="T62" s="190"/>
    </row>
    <row r="63" spans="1:20" ht="33" x14ac:dyDescent="0.6">
      <c r="A63" s="140" t="s">
        <v>177</v>
      </c>
      <c r="B63" s="126">
        <f>B36</f>
        <v>3000000000</v>
      </c>
      <c r="C63" s="126"/>
      <c r="D63" s="126"/>
      <c r="E63" s="126"/>
      <c r="F63" s="126"/>
      <c r="G63" s="126"/>
      <c r="H63" s="102"/>
      <c r="I63" s="102"/>
      <c r="J63" s="102"/>
      <c r="K63" s="259" t="s">
        <v>264</v>
      </c>
      <c r="L63" s="260"/>
      <c r="M63" s="260"/>
      <c r="N63" s="260"/>
      <c r="O63" s="260"/>
      <c r="P63" s="260"/>
      <c r="Q63" s="260"/>
      <c r="R63" s="260"/>
      <c r="S63" s="260"/>
      <c r="T63" s="260"/>
    </row>
    <row r="64" spans="1:20" ht="15.6" x14ac:dyDescent="0.3">
      <c r="A64" s="141" t="s">
        <v>178</v>
      </c>
      <c r="B64" s="129">
        <f>SUM(B61:B63)</f>
        <v>88118500000.000031</v>
      </c>
      <c r="C64" s="129">
        <f>B64*(1+$B$65)</f>
        <v>96930350000.000046</v>
      </c>
      <c r="D64" s="129">
        <f t="shared" ref="D64:G64" si="3">C64*(1+$B$65)</f>
        <v>106623385000.00006</v>
      </c>
      <c r="E64" s="129">
        <f t="shared" si="3"/>
        <v>117285723500.00008</v>
      </c>
      <c r="F64" s="129">
        <f t="shared" si="3"/>
        <v>129014295850.00009</v>
      </c>
      <c r="G64" s="129">
        <f t="shared" si="3"/>
        <v>141915725435.00012</v>
      </c>
      <c r="H64" s="102"/>
      <c r="I64" s="102"/>
      <c r="J64" s="102"/>
      <c r="K64" s="190" t="s">
        <v>254</v>
      </c>
      <c r="L64" s="190"/>
      <c r="M64" s="190"/>
      <c r="N64" s="190"/>
      <c r="O64" s="190"/>
      <c r="P64" s="190"/>
      <c r="Q64" s="190"/>
      <c r="R64" s="190"/>
      <c r="S64" s="190"/>
      <c r="T64" s="190"/>
    </row>
    <row r="65" spans="1:20" ht="15.6" x14ac:dyDescent="0.3">
      <c r="A65" s="140" t="s">
        <v>192</v>
      </c>
      <c r="B65" s="130">
        <f>B53</f>
        <v>0.1</v>
      </c>
      <c r="C65" s="129"/>
      <c r="D65" s="129"/>
      <c r="E65" s="129"/>
      <c r="F65" s="129"/>
      <c r="G65" s="129"/>
      <c r="H65" s="102"/>
      <c r="I65" s="102"/>
      <c r="J65" s="102"/>
      <c r="K65" s="190" t="s">
        <v>233</v>
      </c>
      <c r="L65" s="190"/>
      <c r="M65" s="190"/>
      <c r="N65" s="190"/>
      <c r="O65" s="190"/>
      <c r="P65" s="190"/>
      <c r="Q65" s="190"/>
      <c r="R65" s="190"/>
      <c r="S65" s="190"/>
      <c r="T65" s="190"/>
    </row>
    <row r="66" spans="1:20" ht="15.6" x14ac:dyDescent="0.3">
      <c r="A66" s="140" t="s">
        <v>179</v>
      </c>
      <c r="B66" s="126">
        <f>B38</f>
        <v>0</v>
      </c>
      <c r="C66" s="126">
        <f t="shared" ref="C66:G67" si="4">B66</f>
        <v>0</v>
      </c>
      <c r="D66" s="126">
        <f t="shared" si="4"/>
        <v>0</v>
      </c>
      <c r="E66" s="126">
        <f t="shared" si="4"/>
        <v>0</v>
      </c>
      <c r="F66" s="126">
        <f t="shared" si="4"/>
        <v>0</v>
      </c>
      <c r="G66" s="126">
        <f t="shared" si="4"/>
        <v>0</v>
      </c>
      <c r="H66" s="102"/>
      <c r="I66" s="102"/>
      <c r="J66" s="102"/>
      <c r="K66" s="190" t="s">
        <v>234</v>
      </c>
      <c r="L66" s="190"/>
      <c r="M66" s="190"/>
      <c r="N66" s="190"/>
      <c r="O66" s="190"/>
      <c r="P66" s="190"/>
      <c r="Q66" s="190"/>
      <c r="R66" s="190"/>
      <c r="S66" s="190"/>
      <c r="T66" s="190"/>
    </row>
    <row r="67" spans="1:20" ht="15.6" x14ac:dyDescent="0.3">
      <c r="A67" s="140" t="s">
        <v>180</v>
      </c>
      <c r="B67" s="126">
        <f>B39</f>
        <v>0</v>
      </c>
      <c r="C67" s="126">
        <f t="shared" si="4"/>
        <v>0</v>
      </c>
      <c r="D67" s="126">
        <f t="shared" si="4"/>
        <v>0</v>
      </c>
      <c r="E67" s="126">
        <f t="shared" si="4"/>
        <v>0</v>
      </c>
      <c r="F67" s="126">
        <f t="shared" si="4"/>
        <v>0</v>
      </c>
      <c r="G67" s="126">
        <f t="shared" si="4"/>
        <v>0</v>
      </c>
      <c r="H67" s="102"/>
      <c r="I67" s="102"/>
      <c r="J67" s="102"/>
      <c r="K67" s="190" t="s">
        <v>255</v>
      </c>
      <c r="L67" s="190"/>
      <c r="M67" s="190"/>
      <c r="N67" s="190"/>
      <c r="O67" s="190"/>
      <c r="P67" s="190"/>
      <c r="Q67" s="190"/>
      <c r="R67" s="190"/>
      <c r="S67" s="190"/>
      <c r="T67" s="190"/>
    </row>
    <row r="68" spans="1:20" ht="15.6" x14ac:dyDescent="0.3">
      <c r="A68" s="140" t="s">
        <v>204</v>
      </c>
      <c r="B68" s="126">
        <f>B40</f>
        <v>0</v>
      </c>
      <c r="C68" s="129">
        <f>B68*(1-$D$70)</f>
        <v>0</v>
      </c>
      <c r="D68" s="129">
        <f>C68*(1-$D$70)</f>
        <v>0</v>
      </c>
      <c r="E68" s="129">
        <f>D68*(1-$D$70)</f>
        <v>0</v>
      </c>
      <c r="F68" s="129">
        <f>E68*(1-$D$70)</f>
        <v>0</v>
      </c>
      <c r="G68" s="129">
        <f>F68*(1-$D$70)</f>
        <v>0</v>
      </c>
      <c r="H68" s="102"/>
      <c r="I68" s="102"/>
      <c r="J68" s="102"/>
      <c r="K68" s="113"/>
      <c r="L68" s="203" t="s">
        <v>147</v>
      </c>
      <c r="M68" s="203" t="s">
        <v>221</v>
      </c>
      <c r="N68" s="203" t="s">
        <v>249</v>
      </c>
      <c r="O68" s="203"/>
      <c r="P68" s="190"/>
      <c r="Q68" s="190"/>
      <c r="R68" s="190"/>
      <c r="S68" s="190"/>
      <c r="T68" s="190"/>
    </row>
    <row r="69" spans="1:20" ht="15.6" x14ac:dyDescent="0.3">
      <c r="A69" s="140" t="s">
        <v>195</v>
      </c>
      <c r="B69" s="130">
        <f>B56</f>
        <v>0.05</v>
      </c>
      <c r="C69" s="126"/>
      <c r="D69" s="126"/>
      <c r="E69" s="142"/>
      <c r="F69" s="142"/>
      <c r="G69" s="142"/>
      <c r="H69" s="102"/>
      <c r="I69" s="102"/>
      <c r="J69" s="102"/>
      <c r="K69" s="113" t="s">
        <v>256</v>
      </c>
      <c r="L69" s="203"/>
      <c r="M69" s="203"/>
      <c r="N69" s="203" t="s">
        <v>257</v>
      </c>
      <c r="O69" s="217" t="s">
        <v>258</v>
      </c>
      <c r="P69" s="190"/>
      <c r="Q69" s="190"/>
      <c r="R69" s="190"/>
      <c r="S69" s="190"/>
      <c r="T69" s="190"/>
    </row>
    <row r="70" spans="1:20" ht="15.6" x14ac:dyDescent="0.3">
      <c r="A70" s="140" t="s">
        <v>182</v>
      </c>
      <c r="B70" s="143">
        <f>B41</f>
        <v>0.05</v>
      </c>
      <c r="C70" s="142"/>
      <c r="D70" s="142"/>
      <c r="E70" s="142"/>
      <c r="F70" s="142"/>
      <c r="G70" s="142"/>
      <c r="H70" s="102"/>
      <c r="I70" s="102"/>
      <c r="J70" s="102"/>
      <c r="K70" s="113"/>
      <c r="L70" s="203"/>
      <c r="M70" s="203"/>
      <c r="N70" s="203"/>
      <c r="O70" s="203" t="s">
        <v>266</v>
      </c>
      <c r="P70" s="190"/>
      <c r="Q70" s="190"/>
      <c r="R70" s="190"/>
      <c r="S70" s="190"/>
    </row>
    <row r="71" spans="1:20" ht="15.6" x14ac:dyDescent="0.3">
      <c r="A71" s="140" t="s">
        <v>205</v>
      </c>
      <c r="B71" s="144">
        <f>B70*D230</f>
        <v>0</v>
      </c>
      <c r="C71" s="144">
        <f t="shared" ref="C71:G71" si="5">C70*E230</f>
        <v>0</v>
      </c>
      <c r="D71" s="144">
        <f t="shared" si="5"/>
        <v>0</v>
      </c>
      <c r="E71" s="144">
        <f t="shared" si="5"/>
        <v>0</v>
      </c>
      <c r="F71" s="144">
        <f t="shared" si="5"/>
        <v>0</v>
      </c>
      <c r="G71" s="144">
        <f t="shared" si="5"/>
        <v>0</v>
      </c>
      <c r="H71" s="102"/>
      <c r="I71" s="102"/>
      <c r="J71" s="102"/>
      <c r="K71" s="113" t="s">
        <v>236</v>
      </c>
      <c r="L71" s="213">
        <f>L9</f>
        <v>8248</v>
      </c>
      <c r="M71" s="213">
        <f>M9</f>
        <v>523</v>
      </c>
      <c r="N71" s="113">
        <f>M71</f>
        <v>523</v>
      </c>
      <c r="O71" s="213">
        <f>O9</f>
        <v>575.47371744083955</v>
      </c>
      <c r="P71" s="190"/>
      <c r="Q71" s="190"/>
      <c r="R71" s="190"/>
      <c r="S71" s="190"/>
    </row>
    <row r="72" spans="1:20" ht="15.6" x14ac:dyDescent="0.3">
      <c r="A72" s="140" t="s">
        <v>194</v>
      </c>
      <c r="B72" s="145">
        <f>B55</f>
        <v>0.105</v>
      </c>
      <c r="C72" s="126"/>
      <c r="D72" s="126"/>
      <c r="E72" s="126"/>
      <c r="F72" s="126"/>
      <c r="G72" s="126"/>
      <c r="H72" s="102"/>
      <c r="I72" s="102"/>
      <c r="J72" s="102"/>
      <c r="K72" s="113" t="s">
        <v>237</v>
      </c>
      <c r="L72" s="113">
        <f>L71/L73</f>
        <v>33.135495002750304</v>
      </c>
      <c r="M72" s="157">
        <f>M71/M73</f>
        <v>44.803588589999997</v>
      </c>
      <c r="N72" s="113"/>
      <c r="O72" s="113"/>
      <c r="P72" s="190"/>
      <c r="Q72" s="190"/>
      <c r="R72" s="190"/>
      <c r="S72" s="190"/>
    </row>
    <row r="73" spans="1:20" ht="15.6" x14ac:dyDescent="0.3">
      <c r="A73" s="141" t="s">
        <v>184</v>
      </c>
      <c r="B73" s="129">
        <f t="shared" ref="B73:G73" si="6">B64-B66-B67-B68-B71</f>
        <v>88118500000.000031</v>
      </c>
      <c r="C73" s="129">
        <f t="shared" si="6"/>
        <v>96930350000.000046</v>
      </c>
      <c r="D73" s="129">
        <f t="shared" si="6"/>
        <v>106623385000.00006</v>
      </c>
      <c r="E73" s="129">
        <f t="shared" si="6"/>
        <v>117285723500.00008</v>
      </c>
      <c r="F73" s="129">
        <f t="shared" si="6"/>
        <v>129014295850.00009</v>
      </c>
      <c r="G73" s="129">
        <f t="shared" si="6"/>
        <v>141915725435.00012</v>
      </c>
      <c r="H73" s="102"/>
      <c r="I73" s="102"/>
      <c r="J73" s="102"/>
      <c r="K73" s="113" t="s">
        <v>238</v>
      </c>
      <c r="L73" s="113">
        <f>L75/L74</f>
        <v>248.91736185970368</v>
      </c>
      <c r="M73" s="113">
        <f>M75/M74</f>
        <v>11.673172093110679</v>
      </c>
      <c r="N73" s="118">
        <f>N75/N74</f>
        <v>245.07781120489585</v>
      </c>
      <c r="O73" s="118">
        <f>O75/O74</f>
        <v>243.63000966287558</v>
      </c>
      <c r="P73" s="190"/>
      <c r="Q73" s="190"/>
      <c r="R73" s="190"/>
      <c r="S73" s="190"/>
    </row>
    <row r="74" spans="1:20" ht="15.6" x14ac:dyDescent="0.3">
      <c r="A74" s="140" t="s">
        <v>267</v>
      </c>
      <c r="B74" s="129">
        <f>B73*26%</f>
        <v>22910810000.000008</v>
      </c>
      <c r="C74" s="129">
        <f t="shared" ref="C74:G74" si="7">C73*26%</f>
        <v>25201891000.000011</v>
      </c>
      <c r="D74" s="129">
        <f t="shared" si="7"/>
        <v>27722080100.000015</v>
      </c>
      <c r="E74" s="129">
        <f t="shared" si="7"/>
        <v>30494288110.000019</v>
      </c>
      <c r="F74" s="129">
        <f t="shared" si="7"/>
        <v>33543716921.000027</v>
      </c>
      <c r="G74" s="129">
        <f t="shared" si="7"/>
        <v>36898088613.100037</v>
      </c>
      <c r="H74" s="102"/>
      <c r="I74" s="102"/>
      <c r="J74" s="102"/>
      <c r="K74" s="113" t="s">
        <v>239</v>
      </c>
      <c r="L74" s="113">
        <f>L13</f>
        <v>279179756</v>
      </c>
      <c r="M74" s="113">
        <f>M13</f>
        <v>277194946</v>
      </c>
      <c r="N74" s="192">
        <f>L74+N78</f>
        <v>296756496.63506305</v>
      </c>
      <c r="O74" s="192">
        <f>L74+O78</f>
        <v>298520008.913486</v>
      </c>
      <c r="P74" s="190"/>
      <c r="Q74" s="190"/>
      <c r="R74" s="190"/>
      <c r="S74" s="190"/>
    </row>
    <row r="75" spans="1:20" ht="15.6" x14ac:dyDescent="0.3">
      <c r="A75" s="141" t="s">
        <v>186</v>
      </c>
      <c r="B75" s="129">
        <f t="shared" ref="B75:G75" si="8">B73-B74</f>
        <v>65207690000.000023</v>
      </c>
      <c r="C75" s="129">
        <f t="shared" si="8"/>
        <v>71728459000.000031</v>
      </c>
      <c r="D75" s="129">
        <f t="shared" si="8"/>
        <v>78901304900.000046</v>
      </c>
      <c r="E75" s="129">
        <f t="shared" si="8"/>
        <v>86791435390.000061</v>
      </c>
      <c r="F75" s="129">
        <f t="shared" si="8"/>
        <v>95470578929.000061</v>
      </c>
      <c r="G75" s="129">
        <f t="shared" si="8"/>
        <v>105017636821.90009</v>
      </c>
      <c r="H75" s="102"/>
      <c r="I75" s="102"/>
      <c r="J75" s="102"/>
      <c r="K75" s="113" t="s">
        <v>250</v>
      </c>
      <c r="L75" s="213">
        <f>L10</f>
        <v>69492688348.155777</v>
      </c>
      <c r="M75" s="213">
        <f>M10</f>
        <v>3235744307.9985218</v>
      </c>
      <c r="N75" s="158">
        <f>L75+M75</f>
        <v>72728432656.154297</v>
      </c>
      <c r="O75" s="158">
        <f>N75</f>
        <v>72728432656.154297</v>
      </c>
      <c r="P75" s="190"/>
      <c r="Q75" s="190"/>
      <c r="R75" s="190"/>
      <c r="S75" s="190"/>
    </row>
    <row r="76" spans="1:20" ht="15.6" x14ac:dyDescent="0.3">
      <c r="A76" s="141" t="s">
        <v>206</v>
      </c>
      <c r="B76" s="129">
        <f>B61*(1-26%)</f>
        <v>61029502000.000023</v>
      </c>
      <c r="C76" s="129">
        <f>B76*(1.075)</f>
        <v>65606714650.000023</v>
      </c>
      <c r="D76" s="129">
        <f t="shared" ref="D76:G76" si="9">C76*(1.075)</f>
        <v>70527218248.750015</v>
      </c>
      <c r="E76" s="129">
        <f t="shared" si="9"/>
        <v>75816759617.406265</v>
      </c>
      <c r="F76" s="129">
        <f t="shared" si="9"/>
        <v>81503016588.711731</v>
      </c>
      <c r="G76" s="129">
        <f t="shared" si="9"/>
        <v>87615742832.865112</v>
      </c>
      <c r="H76" s="102"/>
      <c r="I76" s="102"/>
      <c r="J76" s="102"/>
      <c r="K76" s="112" t="s">
        <v>241</v>
      </c>
      <c r="L76" s="113"/>
      <c r="M76" s="113"/>
      <c r="N76" s="158">
        <f>N71*M74</f>
        <v>144972956758</v>
      </c>
      <c r="O76" s="158">
        <f>O71*M74</f>
        <v>159518406030.43277</v>
      </c>
      <c r="P76" s="190"/>
      <c r="Q76" s="190"/>
      <c r="R76" s="190"/>
      <c r="S76" s="190"/>
    </row>
    <row r="77" spans="1:20" ht="15.6" x14ac:dyDescent="0.3">
      <c r="A77" s="140" t="s">
        <v>207</v>
      </c>
      <c r="B77" s="145">
        <f>B54</f>
        <v>7.4999999999999997E-2</v>
      </c>
      <c r="C77" s="126"/>
      <c r="D77" s="126"/>
      <c r="E77" s="126"/>
      <c r="F77" s="126"/>
      <c r="G77" s="126"/>
      <c r="H77" s="102"/>
      <c r="I77" s="102"/>
      <c r="J77" s="102"/>
      <c r="K77" s="112" t="s">
        <v>242</v>
      </c>
      <c r="L77" s="113"/>
      <c r="M77" s="113"/>
      <c r="N77" s="193">
        <f>N71/L71</f>
        <v>6.3409311348205627E-2</v>
      </c>
      <c r="O77" s="193">
        <f>O71/L71</f>
        <v>6.97713042484044E-2</v>
      </c>
      <c r="P77" s="190"/>
      <c r="Q77" s="190"/>
      <c r="R77" s="190"/>
      <c r="S77" s="190"/>
    </row>
    <row r="78" spans="1:20" ht="15.6" x14ac:dyDescent="0.3">
      <c r="A78" s="140" t="s">
        <v>189</v>
      </c>
      <c r="B78" s="126">
        <f>B15</f>
        <v>279179756</v>
      </c>
      <c r="C78" s="126">
        <f t="shared" ref="C78:G79" si="10">B78</f>
        <v>279179756</v>
      </c>
      <c r="D78" s="126">
        <f t="shared" si="10"/>
        <v>279179756</v>
      </c>
      <c r="E78" s="126">
        <f t="shared" si="10"/>
        <v>279179756</v>
      </c>
      <c r="F78" s="126">
        <f t="shared" si="10"/>
        <v>279179756</v>
      </c>
      <c r="G78" s="126">
        <f t="shared" si="10"/>
        <v>279179756</v>
      </c>
      <c r="H78" s="102"/>
      <c r="I78" s="102"/>
      <c r="J78" s="102"/>
      <c r="K78" s="112" t="s">
        <v>243</v>
      </c>
      <c r="L78" s="113"/>
      <c r="M78" s="113"/>
      <c r="N78" s="192">
        <f>N77*M74</f>
        <v>17576740.635063045</v>
      </c>
      <c r="O78" s="192">
        <f>O77*M74</f>
        <v>19340252.91348603</v>
      </c>
      <c r="P78" s="190"/>
      <c r="Q78" s="190"/>
      <c r="R78" s="190"/>
      <c r="S78" s="190"/>
    </row>
    <row r="79" spans="1:20" ht="15.6" x14ac:dyDescent="0.3">
      <c r="A79" s="140" t="s">
        <v>190</v>
      </c>
      <c r="B79" s="133">
        <f>C27</f>
        <v>9670568.1011894327</v>
      </c>
      <c r="C79" s="133">
        <f t="shared" si="10"/>
        <v>9670568.1011894327</v>
      </c>
      <c r="D79" s="133">
        <f t="shared" si="10"/>
        <v>9670568.1011894327</v>
      </c>
      <c r="E79" s="133">
        <f t="shared" si="10"/>
        <v>9670568.1011894327</v>
      </c>
      <c r="F79" s="133">
        <f t="shared" si="10"/>
        <v>9670568.1011894327</v>
      </c>
      <c r="G79" s="133">
        <f t="shared" si="10"/>
        <v>9670568.1011894327</v>
      </c>
      <c r="H79" s="102"/>
      <c r="I79" s="102"/>
      <c r="J79" s="102"/>
      <c r="K79" s="112" t="s">
        <v>244</v>
      </c>
      <c r="L79" s="192"/>
      <c r="M79" s="113"/>
      <c r="N79" s="192">
        <f>L74+N78</f>
        <v>296756496.63506305</v>
      </c>
      <c r="O79" s="192">
        <f>L74+O78</f>
        <v>298520008.913486</v>
      </c>
      <c r="P79" s="190"/>
      <c r="Q79" s="190"/>
      <c r="R79" s="190"/>
      <c r="S79" s="190"/>
    </row>
    <row r="80" spans="1:20" ht="15.6" x14ac:dyDescent="0.3">
      <c r="A80" s="140" t="s">
        <v>208</v>
      </c>
      <c r="B80" s="133">
        <f t="shared" ref="B80:G80" si="11">B78+B79</f>
        <v>288850324.10118943</v>
      </c>
      <c r="C80" s="133">
        <f t="shared" si="11"/>
        <v>288850324.10118943</v>
      </c>
      <c r="D80" s="133">
        <f t="shared" si="11"/>
        <v>288850324.10118943</v>
      </c>
      <c r="E80" s="133">
        <f t="shared" si="11"/>
        <v>288850324.10118943</v>
      </c>
      <c r="F80" s="133">
        <f t="shared" si="11"/>
        <v>288850324.10118943</v>
      </c>
      <c r="G80" s="133">
        <f t="shared" si="11"/>
        <v>288850324.10118943</v>
      </c>
      <c r="H80" s="102"/>
      <c r="I80" s="102"/>
      <c r="J80" s="102"/>
      <c r="K80" s="112" t="s">
        <v>245</v>
      </c>
      <c r="L80" s="192"/>
      <c r="M80" s="113"/>
      <c r="N80" s="158">
        <f>L75+M75</f>
        <v>72728432656.154297</v>
      </c>
      <c r="O80" s="158">
        <f>N80</f>
        <v>72728432656.154297</v>
      </c>
      <c r="P80" s="190"/>
      <c r="Q80" s="190"/>
      <c r="R80" s="190"/>
      <c r="S80" s="190"/>
    </row>
    <row r="81" spans="1:20" ht="15.6" x14ac:dyDescent="0.3">
      <c r="A81" s="140"/>
      <c r="B81" s="126"/>
      <c r="C81" s="126"/>
      <c r="D81" s="126"/>
      <c r="E81" s="126"/>
      <c r="F81" s="126"/>
      <c r="G81" s="126"/>
      <c r="H81" s="102"/>
      <c r="I81" s="102"/>
      <c r="J81" s="102"/>
      <c r="K81" s="112" t="s">
        <v>251</v>
      </c>
      <c r="L81" s="192"/>
      <c r="M81" s="113"/>
      <c r="N81" s="158">
        <f>O14</f>
        <v>0</v>
      </c>
      <c r="O81" s="158">
        <f>O14</f>
        <v>0</v>
      </c>
      <c r="P81" s="190"/>
      <c r="Q81" s="190"/>
      <c r="R81" s="190"/>
      <c r="S81" s="190"/>
    </row>
    <row r="82" spans="1:20" ht="15.6" x14ac:dyDescent="0.3">
      <c r="A82" s="146" t="s">
        <v>209</v>
      </c>
      <c r="B82" s="147">
        <f t="shared" ref="B82:G82" si="12">B75/B80</f>
        <v>225.74906295468307</v>
      </c>
      <c r="C82" s="147">
        <f t="shared" si="12"/>
        <v>248.32396925015141</v>
      </c>
      <c r="D82" s="147">
        <f t="shared" si="12"/>
        <v>273.15636617516657</v>
      </c>
      <c r="E82" s="147">
        <f t="shared" si="12"/>
        <v>300.47200279268327</v>
      </c>
      <c r="F82" s="147">
        <f t="shared" si="12"/>
        <v>330.51920307195161</v>
      </c>
      <c r="G82" s="147">
        <f t="shared" si="12"/>
        <v>363.5711233791468</v>
      </c>
      <c r="H82" s="102"/>
      <c r="I82" s="102"/>
      <c r="J82" s="102"/>
      <c r="K82" s="112" t="s">
        <v>252</v>
      </c>
      <c r="L82" s="192"/>
      <c r="M82" s="113"/>
      <c r="N82" s="158">
        <f>N80+N81</f>
        <v>72728432656.154297</v>
      </c>
      <c r="O82" s="158">
        <f>O80+O81</f>
        <v>72728432656.154297</v>
      </c>
      <c r="P82" s="190"/>
      <c r="Q82" s="190"/>
      <c r="R82" s="190"/>
      <c r="S82" s="190"/>
    </row>
    <row r="83" spans="1:20" ht="15.6" x14ac:dyDescent="0.3">
      <c r="A83" s="146" t="s">
        <v>210</v>
      </c>
      <c r="B83" s="148">
        <f t="shared" ref="B83:G83" si="13">B76/B78</f>
        <v>218.60289182285848</v>
      </c>
      <c r="C83" s="148">
        <f t="shared" si="13"/>
        <v>234.99810870957285</v>
      </c>
      <c r="D83" s="148">
        <f t="shared" si="13"/>
        <v>252.62296686279078</v>
      </c>
      <c r="E83" s="148">
        <f t="shared" si="13"/>
        <v>271.56968937750008</v>
      </c>
      <c r="F83" s="148">
        <f t="shared" si="13"/>
        <v>291.93741608081257</v>
      </c>
      <c r="G83" s="148">
        <f t="shared" si="13"/>
        <v>313.83272228687355</v>
      </c>
      <c r="H83" s="102"/>
      <c r="I83" s="102"/>
      <c r="J83" s="102"/>
      <c r="K83" s="112" t="s">
        <v>246</v>
      </c>
      <c r="L83" s="192"/>
      <c r="M83" s="113"/>
      <c r="N83" s="118">
        <f>N82/N79</f>
        <v>245.07781120489585</v>
      </c>
      <c r="O83" s="118">
        <f>O82/O79</f>
        <v>243.63000966287558</v>
      </c>
      <c r="P83" s="190"/>
      <c r="Q83" s="190"/>
      <c r="R83" s="190"/>
      <c r="S83" s="190"/>
    </row>
    <row r="84" spans="1:20" ht="15.6" x14ac:dyDescent="0.3">
      <c r="A84" s="134"/>
      <c r="B84" s="134"/>
      <c r="C84" s="134"/>
      <c r="D84" s="134"/>
      <c r="E84" s="134"/>
      <c r="F84" s="134"/>
      <c r="G84" s="134"/>
      <c r="H84" s="102"/>
      <c r="I84" s="102"/>
      <c r="J84" s="102"/>
      <c r="K84" s="112" t="s">
        <v>247</v>
      </c>
      <c r="L84" s="192"/>
      <c r="M84" s="113"/>
      <c r="N84" s="118">
        <f>L73</f>
        <v>248.91736185970368</v>
      </c>
      <c r="O84" s="118">
        <f>N84</f>
        <v>248.91736185970368</v>
      </c>
      <c r="P84" s="190"/>
      <c r="Q84" s="190"/>
      <c r="R84" s="190"/>
      <c r="S84" s="190"/>
    </row>
    <row r="85" spans="1:20" ht="15.6" x14ac:dyDescent="0.3">
      <c r="A85" s="149" t="s">
        <v>211</v>
      </c>
      <c r="B85" s="150">
        <f>B82-B83</f>
        <v>7.1461711318245875</v>
      </c>
      <c r="C85" s="150">
        <f t="shared" ref="C85:G85" si="14">C82-C83</f>
        <v>13.32586054057856</v>
      </c>
      <c r="D85" s="150">
        <f t="shared" si="14"/>
        <v>20.533399312375792</v>
      </c>
      <c r="E85" s="150">
        <f t="shared" si="14"/>
        <v>28.902313415183187</v>
      </c>
      <c r="F85" s="150">
        <f t="shared" si="14"/>
        <v>38.58178699113904</v>
      </c>
      <c r="G85" s="150">
        <f t="shared" si="14"/>
        <v>49.73840109227325</v>
      </c>
      <c r="H85" s="102"/>
      <c r="I85" s="102"/>
      <c r="J85" s="102"/>
      <c r="K85" s="112" t="s">
        <v>248</v>
      </c>
      <c r="L85" s="202"/>
      <c r="M85" s="113"/>
      <c r="N85" s="202">
        <f>N83/N84-1</f>
        <v>-1.542500139854408E-2</v>
      </c>
      <c r="O85" s="202">
        <f>O83/O84-1</f>
        <v>-2.124139576815931E-2</v>
      </c>
      <c r="P85" s="190"/>
      <c r="Q85" s="190"/>
      <c r="R85" s="190"/>
      <c r="S85" s="190"/>
    </row>
    <row r="86" spans="1:20" ht="15.6" x14ac:dyDescent="0.3">
      <c r="A86" s="149" t="s">
        <v>212</v>
      </c>
      <c r="B86" s="151">
        <f t="shared" ref="B86:G86" si="15">B82/B83-1</f>
        <v>3.269019486537883E-2</v>
      </c>
      <c r="C86" s="151">
        <f t="shared" si="15"/>
        <v>5.6706245908759945E-2</v>
      </c>
      <c r="D86" s="151">
        <f t="shared" si="15"/>
        <v>8.1280809767103612E-2</v>
      </c>
      <c r="E86" s="151">
        <f t="shared" si="15"/>
        <v>0.10642687511052462</v>
      </c>
      <c r="F86" s="151">
        <f t="shared" si="15"/>
        <v>0.13215773267123465</v>
      </c>
      <c r="G86" s="151">
        <f t="shared" si="15"/>
        <v>0.15848698226824021</v>
      </c>
      <c r="H86" s="102"/>
      <c r="I86" s="102"/>
      <c r="J86" s="102"/>
      <c r="K86" s="204"/>
      <c r="L86" s="127"/>
      <c r="M86" s="127"/>
      <c r="N86" s="127"/>
      <c r="O86" s="127"/>
      <c r="P86" s="127"/>
      <c r="Q86" s="127"/>
      <c r="R86" s="127"/>
      <c r="S86" s="127"/>
      <c r="T86" s="127"/>
    </row>
    <row r="87" spans="1:20" ht="15.6" x14ac:dyDescent="0.3">
      <c r="A87" s="149" t="s">
        <v>213</v>
      </c>
      <c r="B87" s="152">
        <f t="shared" ref="B87:G87" si="16">IF(B86&gt;0,$D$29,$D$30)</f>
        <v>0</v>
      </c>
      <c r="C87" s="152">
        <f t="shared" si="16"/>
        <v>0</v>
      </c>
      <c r="D87" s="152">
        <f t="shared" si="16"/>
        <v>0</v>
      </c>
      <c r="E87" s="152">
        <f t="shared" si="16"/>
        <v>0</v>
      </c>
      <c r="F87" s="152">
        <f t="shared" si="16"/>
        <v>0</v>
      </c>
      <c r="G87" s="152">
        <f t="shared" si="16"/>
        <v>0</v>
      </c>
      <c r="H87" s="102"/>
      <c r="I87" s="102"/>
      <c r="J87" s="102"/>
      <c r="K87" s="197"/>
      <c r="L87" s="127"/>
      <c r="M87" s="127"/>
      <c r="N87" s="127"/>
      <c r="O87" s="127"/>
      <c r="P87" s="127"/>
      <c r="Q87" s="127"/>
      <c r="R87" s="127"/>
      <c r="S87" s="127"/>
      <c r="T87" s="127"/>
    </row>
    <row r="88" spans="1:20" ht="15.6" x14ac:dyDescent="0.3">
      <c r="A88" s="134"/>
      <c r="B88" s="134"/>
      <c r="C88" s="134"/>
      <c r="D88" s="134"/>
      <c r="E88" s="134"/>
      <c r="F88" s="134"/>
      <c r="G88" s="134"/>
      <c r="H88" s="102"/>
      <c r="I88" s="102"/>
      <c r="J88" s="102"/>
      <c r="K88" s="197"/>
      <c r="L88" s="127"/>
      <c r="M88" s="127"/>
      <c r="N88" s="127"/>
      <c r="O88" s="127"/>
      <c r="P88" s="127"/>
      <c r="Q88" s="127"/>
      <c r="R88" s="127"/>
      <c r="S88" s="127"/>
      <c r="T88" s="127"/>
    </row>
    <row r="89" spans="1:20" ht="33" x14ac:dyDescent="0.6">
      <c r="A89" s="134"/>
      <c r="B89" s="134"/>
      <c r="C89" s="134"/>
      <c r="D89" s="134"/>
      <c r="E89" s="134"/>
      <c r="F89" s="134"/>
      <c r="G89" s="134"/>
      <c r="H89" s="102"/>
      <c r="I89" s="102"/>
      <c r="J89" s="102"/>
      <c r="K89" s="189" t="s">
        <v>265</v>
      </c>
      <c r="L89" s="124"/>
      <c r="M89" s="124"/>
      <c r="N89" s="124"/>
      <c r="O89" s="124"/>
      <c r="P89" s="124"/>
      <c r="Q89" s="124"/>
      <c r="R89" s="124"/>
      <c r="S89" s="124"/>
      <c r="T89" s="124"/>
    </row>
    <row r="90" spans="1:20" ht="15.6" x14ac:dyDescent="0.3">
      <c r="A90" s="134"/>
      <c r="B90" s="134"/>
      <c r="C90" s="134"/>
      <c r="D90" s="134"/>
      <c r="E90" s="134"/>
      <c r="F90" s="134"/>
      <c r="G90" s="134"/>
      <c r="H90" s="102"/>
      <c r="I90" s="102"/>
      <c r="J90" s="102"/>
      <c r="K90" s="190" t="s">
        <v>259</v>
      </c>
      <c r="L90" s="190"/>
      <c r="M90" s="190"/>
      <c r="N90" s="190"/>
      <c r="O90" s="190"/>
      <c r="P90" s="190"/>
      <c r="Q90" s="190"/>
      <c r="R90" s="190"/>
      <c r="S90" s="102"/>
      <c r="T90" s="102"/>
    </row>
    <row r="91" spans="1:20" ht="33" customHeight="1" x14ac:dyDescent="0.6">
      <c r="A91" s="257" t="s">
        <v>214</v>
      </c>
      <c r="B91" s="257"/>
      <c r="C91" s="257"/>
      <c r="D91" s="257"/>
      <c r="E91" s="257"/>
      <c r="F91" s="257"/>
      <c r="G91" s="257"/>
      <c r="H91" s="102"/>
      <c r="I91" s="102"/>
      <c r="J91" s="102"/>
      <c r="K91" s="190" t="s">
        <v>233</v>
      </c>
      <c r="L91" s="190"/>
      <c r="M91" s="190"/>
      <c r="N91" s="190"/>
      <c r="O91" s="190"/>
      <c r="P91" s="190"/>
      <c r="Q91" s="190"/>
      <c r="R91" s="190"/>
    </row>
    <row r="92" spans="1:20" x14ac:dyDescent="0.3">
      <c r="A92" s="153"/>
      <c r="B92" s="153"/>
      <c r="C92" s="153"/>
      <c r="D92" s="153"/>
      <c r="E92" s="153"/>
      <c r="F92" s="153"/>
      <c r="G92" s="153"/>
      <c r="H92" s="102"/>
      <c r="I92" s="102"/>
      <c r="J92" s="102"/>
      <c r="K92" s="190" t="s">
        <v>234</v>
      </c>
      <c r="L92" s="190"/>
      <c r="M92" s="190"/>
      <c r="N92" s="190"/>
      <c r="O92" s="190"/>
      <c r="P92" s="190"/>
      <c r="Q92" s="190"/>
      <c r="R92" s="190"/>
    </row>
    <row r="93" spans="1:20" ht="15.6" x14ac:dyDescent="0.3">
      <c r="A93" s="138" t="s">
        <v>197</v>
      </c>
      <c r="B93" s="139" t="s">
        <v>198</v>
      </c>
      <c r="C93" s="139" t="s">
        <v>199</v>
      </c>
      <c r="D93" s="139" t="s">
        <v>200</v>
      </c>
      <c r="E93" s="139" t="s">
        <v>201</v>
      </c>
      <c r="F93" s="139" t="s">
        <v>202</v>
      </c>
      <c r="G93" s="139" t="s">
        <v>203</v>
      </c>
      <c r="H93" s="102"/>
      <c r="I93" s="102"/>
      <c r="J93" s="102"/>
      <c r="K93" s="190" t="s">
        <v>255</v>
      </c>
      <c r="L93" s="190"/>
      <c r="M93" s="190"/>
      <c r="N93" s="190"/>
      <c r="O93" s="190"/>
      <c r="P93" s="190"/>
      <c r="Q93" s="190"/>
      <c r="R93" s="190"/>
    </row>
    <row r="94" spans="1:20" ht="15.6" x14ac:dyDescent="0.3">
      <c r="A94" s="140" t="s">
        <v>175</v>
      </c>
      <c r="B94" s="126">
        <f>B34</f>
        <v>82472300000.000031</v>
      </c>
      <c r="C94" s="126">
        <f>B94*(1+$B$98)</f>
        <v>90719530000.000046</v>
      </c>
      <c r="D94" s="126">
        <f t="shared" ref="D94:G94" si="17">C94*(1+$B$98)</f>
        <v>99791483000.000061</v>
      </c>
      <c r="E94" s="126">
        <f t="shared" si="17"/>
        <v>109770631300.00008</v>
      </c>
      <c r="F94" s="126">
        <f t="shared" si="17"/>
        <v>120747694430.00009</v>
      </c>
      <c r="G94" s="126">
        <f t="shared" si="17"/>
        <v>132822463873.00011</v>
      </c>
      <c r="H94" s="102"/>
      <c r="I94" s="102"/>
      <c r="J94" s="102"/>
      <c r="K94" s="112"/>
      <c r="L94" s="112" t="s">
        <v>147</v>
      </c>
      <c r="M94" s="112" t="s">
        <v>221</v>
      </c>
      <c r="N94" s="258" t="s">
        <v>260</v>
      </c>
      <c r="O94" s="258"/>
      <c r="P94" s="112"/>
      <c r="Q94" s="112"/>
      <c r="R94" s="190"/>
    </row>
    <row r="95" spans="1:20" ht="15.6" x14ac:dyDescent="0.3">
      <c r="A95" s="140" t="s">
        <v>176</v>
      </c>
      <c r="B95" s="126">
        <f>B35</f>
        <v>2646200000</v>
      </c>
      <c r="C95" s="129"/>
      <c r="D95" s="129"/>
      <c r="E95" s="129"/>
      <c r="F95" s="129"/>
      <c r="G95" s="129"/>
      <c r="H95" s="102"/>
      <c r="I95" s="102"/>
      <c r="J95" s="102"/>
      <c r="K95" s="112" t="s">
        <v>256</v>
      </c>
      <c r="L95" s="112"/>
      <c r="M95" s="112"/>
      <c r="N95" s="258"/>
      <c r="O95" s="258"/>
      <c r="P95" s="218" t="s">
        <v>258</v>
      </c>
      <c r="Q95" s="205"/>
      <c r="R95" s="190"/>
    </row>
    <row r="96" spans="1:20" ht="15.6" x14ac:dyDescent="0.3">
      <c r="A96" s="140" t="s">
        <v>177</v>
      </c>
      <c r="B96" s="126">
        <f>B36</f>
        <v>3000000000</v>
      </c>
      <c r="C96" s="126"/>
      <c r="D96" s="126"/>
      <c r="E96" s="126"/>
      <c r="F96" s="126"/>
      <c r="G96" s="126"/>
      <c r="H96" s="102"/>
      <c r="I96" s="102"/>
      <c r="J96" s="102"/>
      <c r="K96" s="113"/>
      <c r="L96" s="113"/>
      <c r="M96" s="113"/>
      <c r="N96" s="113"/>
      <c r="O96" s="113"/>
      <c r="P96" s="218" t="s">
        <v>266</v>
      </c>
      <c r="Q96" s="218"/>
      <c r="R96" s="190"/>
    </row>
    <row r="97" spans="1:18" ht="15.6" x14ac:dyDescent="0.3">
      <c r="A97" s="141" t="s">
        <v>178</v>
      </c>
      <c r="B97" s="129">
        <f>SUM(B94:B96)</f>
        <v>88118500000.000031</v>
      </c>
      <c r="C97" s="129">
        <f>B97*(1+$B$98)</f>
        <v>96930350000.000046</v>
      </c>
      <c r="D97" s="129">
        <f t="shared" ref="D97:G97" si="18">C97*(1+$B$98)</f>
        <v>106623385000.00006</v>
      </c>
      <c r="E97" s="129">
        <f t="shared" si="18"/>
        <v>117285723500.00008</v>
      </c>
      <c r="F97" s="129">
        <f t="shared" si="18"/>
        <v>129014295850.00009</v>
      </c>
      <c r="G97" s="129">
        <f t="shared" si="18"/>
        <v>141915725435.00012</v>
      </c>
      <c r="H97" s="102"/>
      <c r="I97" s="102"/>
      <c r="J97" s="102"/>
      <c r="K97" s="113"/>
      <c r="L97" s="113"/>
      <c r="M97" s="113"/>
      <c r="N97" s="206" t="s">
        <v>261</v>
      </c>
      <c r="O97" s="207" t="s">
        <v>262</v>
      </c>
      <c r="P97" s="206" t="s">
        <v>261</v>
      </c>
      <c r="Q97" s="207" t="s">
        <v>262</v>
      </c>
      <c r="R97" s="190"/>
    </row>
    <row r="98" spans="1:18" ht="15.6" x14ac:dyDescent="0.3">
      <c r="A98" s="140" t="s">
        <v>192</v>
      </c>
      <c r="B98" s="130">
        <f>B53</f>
        <v>0.1</v>
      </c>
      <c r="C98" s="129"/>
      <c r="D98" s="129"/>
      <c r="E98" s="129"/>
      <c r="F98" s="129"/>
      <c r="G98" s="129"/>
      <c r="H98" s="102"/>
      <c r="I98" s="102"/>
      <c r="J98" s="102"/>
      <c r="K98" s="113" t="s">
        <v>236</v>
      </c>
      <c r="L98" s="213">
        <f>L9</f>
        <v>8248</v>
      </c>
      <c r="M98" s="157">
        <f>M9</f>
        <v>523</v>
      </c>
      <c r="N98" s="200">
        <f>M98</f>
        <v>523</v>
      </c>
      <c r="O98" s="208">
        <f>M98</f>
        <v>523</v>
      </c>
      <c r="P98" s="200">
        <f>P9</f>
        <v>575.47371744083955</v>
      </c>
      <c r="Q98" s="208">
        <f>P9</f>
        <v>575.47371744083955</v>
      </c>
      <c r="R98" s="190"/>
    </row>
    <row r="99" spans="1:18" ht="15.6" x14ac:dyDescent="0.3">
      <c r="A99" s="140" t="s">
        <v>179</v>
      </c>
      <c r="B99" s="126">
        <f>B66</f>
        <v>0</v>
      </c>
      <c r="C99" s="126">
        <f t="shared" ref="C99:G100" si="19">B99</f>
        <v>0</v>
      </c>
      <c r="D99" s="126">
        <f t="shared" si="19"/>
        <v>0</v>
      </c>
      <c r="E99" s="126">
        <f t="shared" si="19"/>
        <v>0</v>
      </c>
      <c r="F99" s="126">
        <f t="shared" si="19"/>
        <v>0</v>
      </c>
      <c r="G99" s="126">
        <f t="shared" si="19"/>
        <v>0</v>
      </c>
      <c r="H99" s="102"/>
      <c r="I99" s="102"/>
      <c r="J99" s="102"/>
      <c r="K99" s="113" t="s">
        <v>237</v>
      </c>
      <c r="L99" s="113">
        <f>L98/L100</f>
        <v>33.135495002750304</v>
      </c>
      <c r="M99" s="157">
        <f>M98/M100</f>
        <v>44.803588589999997</v>
      </c>
      <c r="N99" s="200"/>
      <c r="O99" s="208"/>
      <c r="P99" s="200"/>
      <c r="Q99" s="208"/>
      <c r="R99" s="190"/>
    </row>
    <row r="100" spans="1:18" ht="15.6" x14ac:dyDescent="0.3">
      <c r="A100" s="140" t="s">
        <v>180</v>
      </c>
      <c r="B100" s="126">
        <f>B67</f>
        <v>0</v>
      </c>
      <c r="C100" s="126">
        <f t="shared" si="19"/>
        <v>0</v>
      </c>
      <c r="D100" s="126">
        <f t="shared" si="19"/>
        <v>0</v>
      </c>
      <c r="E100" s="126">
        <f t="shared" si="19"/>
        <v>0</v>
      </c>
      <c r="F100" s="126">
        <f t="shared" si="19"/>
        <v>0</v>
      </c>
      <c r="G100" s="126">
        <f t="shared" si="19"/>
        <v>0</v>
      </c>
      <c r="H100" s="102"/>
      <c r="I100" s="102"/>
      <c r="J100" s="102"/>
      <c r="K100" s="113" t="s">
        <v>238</v>
      </c>
      <c r="L100" s="113">
        <f t="shared" ref="L100:Q100" si="20">L102/L101</f>
        <v>248.91736185970368</v>
      </c>
      <c r="M100" s="113">
        <f t="shared" si="20"/>
        <v>11.673172093110679</v>
      </c>
      <c r="N100" s="193">
        <f t="shared" si="20"/>
        <v>245.07781120489585</v>
      </c>
      <c r="O100" s="209">
        <f t="shared" si="20"/>
        <v>252.5572311984258</v>
      </c>
      <c r="P100" s="193">
        <f t="shared" si="20"/>
        <v>243.63000966287558</v>
      </c>
      <c r="Q100" s="209">
        <f t="shared" si="20"/>
        <v>251.78626363833058</v>
      </c>
      <c r="R100" s="190"/>
    </row>
    <row r="101" spans="1:18" ht="15.6" x14ac:dyDescent="0.3">
      <c r="A101" s="140" t="s">
        <v>204</v>
      </c>
      <c r="B101" s="126">
        <f>B68</f>
        <v>0</v>
      </c>
      <c r="C101" s="142">
        <f>B101*(1-$D$103)</f>
        <v>0</v>
      </c>
      <c r="D101" s="142">
        <f>C101*(1-$D$103)</f>
        <v>0</v>
      </c>
      <c r="E101" s="142">
        <f>D101*(1-$D$103)</f>
        <v>0</v>
      </c>
      <c r="F101" s="142">
        <f>E101*(1-$D$103)</f>
        <v>0</v>
      </c>
      <c r="G101" s="142">
        <f>F101*(1-$D$103)</f>
        <v>0</v>
      </c>
      <c r="H101" s="102"/>
      <c r="I101" s="102"/>
      <c r="J101" s="102"/>
      <c r="K101" s="113" t="s">
        <v>239</v>
      </c>
      <c r="L101" s="113">
        <f>L13</f>
        <v>279179756</v>
      </c>
      <c r="M101" s="113">
        <f>M13</f>
        <v>277194946</v>
      </c>
      <c r="N101" s="200">
        <f>N106</f>
        <v>296756496.63506305</v>
      </c>
      <c r="O101" s="208">
        <f>O106</f>
        <v>287968126.31753153</v>
      </c>
      <c r="P101" s="200">
        <f>P106</f>
        <v>298520008.913486</v>
      </c>
      <c r="Q101" s="208">
        <f>Q106</f>
        <v>288849882.456743</v>
      </c>
      <c r="R101" s="190"/>
    </row>
    <row r="102" spans="1:18" ht="15.6" x14ac:dyDescent="0.3">
      <c r="A102" s="140" t="s">
        <v>182</v>
      </c>
      <c r="B102" s="143">
        <f>B41</f>
        <v>0.05</v>
      </c>
      <c r="C102" s="142"/>
      <c r="D102" s="142"/>
      <c r="E102" s="142"/>
      <c r="F102" s="142"/>
      <c r="G102" s="142"/>
      <c r="H102" s="102"/>
      <c r="I102" s="102"/>
      <c r="J102" s="102"/>
      <c r="K102" s="113" t="s">
        <v>240</v>
      </c>
      <c r="L102" s="213">
        <f>L10</f>
        <v>69492688348.155777</v>
      </c>
      <c r="M102" s="213">
        <f>M10</f>
        <v>3235744307.9985218</v>
      </c>
      <c r="N102" s="219">
        <f>L102+M102</f>
        <v>72728432656.154297</v>
      </c>
      <c r="O102" s="220">
        <f>N102</f>
        <v>72728432656.154297</v>
      </c>
      <c r="P102" s="219">
        <f>N102</f>
        <v>72728432656.154297</v>
      </c>
      <c r="Q102" s="220">
        <f>P102</f>
        <v>72728432656.154297</v>
      </c>
      <c r="R102" s="190"/>
    </row>
    <row r="103" spans="1:18" ht="15.6" x14ac:dyDescent="0.3">
      <c r="A103" s="140" t="s">
        <v>195</v>
      </c>
      <c r="B103" s="143">
        <f>B56</f>
        <v>0.05</v>
      </c>
      <c r="C103" s="142"/>
      <c r="D103" s="142"/>
      <c r="E103" s="142"/>
      <c r="F103" s="142"/>
      <c r="G103" s="142"/>
      <c r="H103" s="102"/>
      <c r="I103" s="102"/>
      <c r="J103" s="102"/>
      <c r="K103" s="112" t="s">
        <v>241</v>
      </c>
      <c r="L103" s="113"/>
      <c r="M103" s="113"/>
      <c r="N103" s="219">
        <f>N98*M101</f>
        <v>144972956758</v>
      </c>
      <c r="O103" s="220">
        <f>O98*M101</f>
        <v>144972956758</v>
      </c>
      <c r="P103" s="219">
        <f>P98*M101</f>
        <v>159518406030.43277</v>
      </c>
      <c r="Q103" s="221">
        <f>Q98*M101</f>
        <v>159518406030.43277</v>
      </c>
      <c r="R103" s="190"/>
    </row>
    <row r="104" spans="1:18" ht="15.6" x14ac:dyDescent="0.3">
      <c r="A104" s="140" t="s">
        <v>205</v>
      </c>
      <c r="B104" s="144">
        <f t="shared" ref="B104:G104" ca="1" si="21">$D$104*$H$24</f>
        <v>0</v>
      </c>
      <c r="C104" s="144">
        <f t="shared" ca="1" si="21"/>
        <v>0</v>
      </c>
      <c r="D104" s="144">
        <f t="shared" ca="1" si="21"/>
        <v>0</v>
      </c>
      <c r="E104" s="144">
        <f t="shared" ca="1" si="21"/>
        <v>0</v>
      </c>
      <c r="F104" s="144">
        <f t="shared" ca="1" si="21"/>
        <v>0</v>
      </c>
      <c r="G104" s="144">
        <f t="shared" ca="1" si="21"/>
        <v>0</v>
      </c>
      <c r="H104" s="102"/>
      <c r="I104" s="102"/>
      <c r="J104" s="102"/>
      <c r="K104" s="112" t="s">
        <v>242</v>
      </c>
      <c r="L104" s="113"/>
      <c r="M104" s="113"/>
      <c r="N104" s="193">
        <f>N98/L98</f>
        <v>6.3409311348205627E-2</v>
      </c>
      <c r="O104" s="209">
        <f>O98/L98</f>
        <v>6.3409311348205627E-2</v>
      </c>
      <c r="P104" s="193">
        <f>P98/L98</f>
        <v>6.97713042484044E-2</v>
      </c>
      <c r="Q104" s="209">
        <f>Q98/L98</f>
        <v>6.97713042484044E-2</v>
      </c>
      <c r="R104" s="190"/>
    </row>
    <row r="105" spans="1:18" ht="15.6" x14ac:dyDescent="0.3">
      <c r="A105" s="140" t="s">
        <v>194</v>
      </c>
      <c r="B105" s="145">
        <f>B55</f>
        <v>0.105</v>
      </c>
      <c r="C105" s="126"/>
      <c r="D105" s="126"/>
      <c r="E105" s="126"/>
      <c r="F105" s="126"/>
      <c r="G105" s="126"/>
      <c r="H105" s="102"/>
      <c r="I105" s="102"/>
      <c r="J105" s="102"/>
      <c r="K105" s="112" t="s">
        <v>243</v>
      </c>
      <c r="L105" s="113"/>
      <c r="M105" s="113"/>
      <c r="N105" s="201">
        <f>N104*M101</f>
        <v>17576740.635063045</v>
      </c>
      <c r="O105" s="210">
        <f>O104*M101/2</f>
        <v>8788370.3175315224</v>
      </c>
      <c r="P105" s="201">
        <f>P104*M101</f>
        <v>19340252.91348603</v>
      </c>
      <c r="Q105" s="210">
        <f>Q104*M101*0.5</f>
        <v>9670126.456743015</v>
      </c>
      <c r="R105" s="190"/>
    </row>
    <row r="106" spans="1:18" ht="15.6" x14ac:dyDescent="0.3">
      <c r="A106" s="141" t="s">
        <v>184</v>
      </c>
      <c r="B106" s="129">
        <f>B97-B99-B100-B101</f>
        <v>88118500000.000031</v>
      </c>
      <c r="C106" s="129">
        <f>C97-C99-C100-C101-C103</f>
        <v>96930350000.000046</v>
      </c>
      <c r="D106" s="129">
        <f>D97-D99-D100-D101-D103</f>
        <v>106623385000.00006</v>
      </c>
      <c r="E106" s="129">
        <f>E97-E99-E100-E101-E103</f>
        <v>117285723500.00008</v>
      </c>
      <c r="F106" s="129">
        <f>F97-F99-F100-F101-F103</f>
        <v>129014295850.00009</v>
      </c>
      <c r="G106" s="129">
        <f>G97-G99-G100-G101-G103</f>
        <v>141915725435.00012</v>
      </c>
      <c r="H106" s="102"/>
      <c r="I106" s="102"/>
      <c r="J106" s="102"/>
      <c r="K106" s="112" t="s">
        <v>244</v>
      </c>
      <c r="L106" s="192"/>
      <c r="M106" s="113"/>
      <c r="N106" s="201">
        <f>L101+N105</f>
        <v>296756496.63506305</v>
      </c>
      <c r="O106" s="210">
        <f>L101+O105</f>
        <v>287968126.31753153</v>
      </c>
      <c r="P106" s="201">
        <f>L101+P105</f>
        <v>298520008.913486</v>
      </c>
      <c r="Q106" s="210">
        <f>L101+Q105</f>
        <v>288849882.456743</v>
      </c>
      <c r="R106" s="190"/>
    </row>
    <row r="107" spans="1:18" ht="15.6" x14ac:dyDescent="0.3">
      <c r="A107" s="140" t="s">
        <v>267</v>
      </c>
      <c r="B107" s="129">
        <f>B106*26%</f>
        <v>22910810000.000008</v>
      </c>
      <c r="C107" s="129">
        <f t="shared" ref="C107:G107" si="22">C106*26%</f>
        <v>25201891000.000011</v>
      </c>
      <c r="D107" s="129">
        <f t="shared" si="22"/>
        <v>27722080100.000015</v>
      </c>
      <c r="E107" s="129">
        <f t="shared" si="22"/>
        <v>30494288110.000019</v>
      </c>
      <c r="F107" s="129">
        <f t="shared" si="22"/>
        <v>33543716921.000027</v>
      </c>
      <c r="G107" s="129">
        <f t="shared" si="22"/>
        <v>36898088613.100037</v>
      </c>
      <c r="H107" s="102"/>
      <c r="I107" s="102"/>
      <c r="J107" s="102"/>
      <c r="K107" s="112" t="s">
        <v>245</v>
      </c>
      <c r="L107" s="192"/>
      <c r="M107" s="113"/>
      <c r="N107" s="219">
        <f>N102</f>
        <v>72728432656.154297</v>
      </c>
      <c r="O107" s="220">
        <f>O102</f>
        <v>72728432656.154297</v>
      </c>
      <c r="P107" s="219">
        <f>P102</f>
        <v>72728432656.154297</v>
      </c>
      <c r="Q107" s="220">
        <f>Q102</f>
        <v>72728432656.154297</v>
      </c>
      <c r="R107" s="190"/>
    </row>
    <row r="108" spans="1:18" ht="15.6" x14ac:dyDescent="0.3">
      <c r="A108" s="141" t="s">
        <v>186</v>
      </c>
      <c r="B108" s="129">
        <f t="shared" ref="B108:G108" si="23">B106-B107</f>
        <v>65207690000.000023</v>
      </c>
      <c r="C108" s="129">
        <f t="shared" si="23"/>
        <v>71728459000.000031</v>
      </c>
      <c r="D108" s="129">
        <f t="shared" si="23"/>
        <v>78901304900.000046</v>
      </c>
      <c r="E108" s="129">
        <f t="shared" si="23"/>
        <v>86791435390.000061</v>
      </c>
      <c r="F108" s="129">
        <f t="shared" si="23"/>
        <v>95470578929.000061</v>
      </c>
      <c r="G108" s="129">
        <f t="shared" si="23"/>
        <v>105017636821.90009</v>
      </c>
      <c r="H108" s="102"/>
      <c r="I108" s="102"/>
      <c r="J108" s="102"/>
      <c r="K108" s="112" t="s">
        <v>251</v>
      </c>
      <c r="L108" s="192"/>
      <c r="M108" s="113"/>
      <c r="N108" s="219">
        <f>P14</f>
        <v>0</v>
      </c>
      <c r="O108" s="220">
        <f>N108</f>
        <v>0</v>
      </c>
      <c r="P108" s="219">
        <f>P14</f>
        <v>0</v>
      </c>
      <c r="Q108" s="220">
        <f>P108</f>
        <v>0</v>
      </c>
      <c r="R108" s="190"/>
    </row>
    <row r="109" spans="1:18" ht="15.6" x14ac:dyDescent="0.3">
      <c r="A109" s="141" t="s">
        <v>206</v>
      </c>
      <c r="B109" s="129">
        <f>B94*(1-26%)</f>
        <v>61029502000.000023</v>
      </c>
      <c r="C109" s="129">
        <f>B109*(1.075)</f>
        <v>65606714650.000023</v>
      </c>
      <c r="D109" s="129">
        <f>C109*(1.075)</f>
        <v>70527218248.750015</v>
      </c>
      <c r="E109" s="129">
        <f>D109*(1.075)</f>
        <v>75816759617.406265</v>
      </c>
      <c r="F109" s="129">
        <f>E109*(1.075)</f>
        <v>81503016588.711731</v>
      </c>
      <c r="G109" s="129">
        <f>F109*(1.075)</f>
        <v>87615742832.865112</v>
      </c>
      <c r="H109" s="102"/>
      <c r="I109" s="102"/>
      <c r="J109" s="102"/>
      <c r="K109" s="112" t="s">
        <v>252</v>
      </c>
      <c r="L109" s="192"/>
      <c r="M109" s="113"/>
      <c r="N109" s="219">
        <f>N107+N108</f>
        <v>72728432656.154297</v>
      </c>
      <c r="O109" s="220">
        <f>O107+O108</f>
        <v>72728432656.154297</v>
      </c>
      <c r="P109" s="201">
        <f>P107+P108</f>
        <v>72728432656.154297</v>
      </c>
      <c r="Q109" s="210">
        <f>Q107+Q108</f>
        <v>72728432656.154297</v>
      </c>
      <c r="R109" s="190"/>
    </row>
    <row r="110" spans="1:18" ht="15.6" x14ac:dyDescent="0.3">
      <c r="A110" s="141"/>
      <c r="B110" s="126"/>
      <c r="C110" s="126"/>
      <c r="D110" s="126"/>
      <c r="E110" s="126"/>
      <c r="F110" s="126"/>
      <c r="G110" s="126"/>
      <c r="H110" s="102"/>
      <c r="I110" s="102"/>
      <c r="J110" s="102"/>
      <c r="K110" s="112" t="s">
        <v>246</v>
      </c>
      <c r="L110" s="192"/>
      <c r="M110" s="113"/>
      <c r="N110" s="193">
        <f>N109/N106</f>
        <v>245.07781120489585</v>
      </c>
      <c r="O110" s="209">
        <f>O109/O106</f>
        <v>252.5572311984258</v>
      </c>
      <c r="P110" s="193">
        <f>P109/P106</f>
        <v>243.63000966287558</v>
      </c>
      <c r="Q110" s="209">
        <f>Q109/Q106</f>
        <v>251.78626363833058</v>
      </c>
      <c r="R110" s="190"/>
    </row>
    <row r="111" spans="1:18" ht="15.6" x14ac:dyDescent="0.3">
      <c r="A111" s="140" t="s">
        <v>189</v>
      </c>
      <c r="B111" s="126">
        <f>B15</f>
        <v>279179756</v>
      </c>
      <c r="C111" s="126">
        <f t="shared" ref="C111:G112" si="24">B111</f>
        <v>279179756</v>
      </c>
      <c r="D111" s="126">
        <f t="shared" si="24"/>
        <v>279179756</v>
      </c>
      <c r="E111" s="126">
        <f t="shared" si="24"/>
        <v>279179756</v>
      </c>
      <c r="F111" s="126">
        <f t="shared" si="24"/>
        <v>279179756</v>
      </c>
      <c r="G111" s="126">
        <f t="shared" si="24"/>
        <v>279179756</v>
      </c>
      <c r="H111" s="102"/>
      <c r="I111" s="102"/>
      <c r="J111" s="102"/>
      <c r="K111" s="112" t="s">
        <v>247</v>
      </c>
      <c r="L111" s="192"/>
      <c r="M111" s="113"/>
      <c r="N111" s="193">
        <f>L100</f>
        <v>248.91736185970368</v>
      </c>
      <c r="O111" s="209">
        <f>N111</f>
        <v>248.91736185970368</v>
      </c>
      <c r="P111" s="193">
        <f>O111</f>
        <v>248.91736185970368</v>
      </c>
      <c r="Q111" s="209">
        <f>P111</f>
        <v>248.91736185970368</v>
      </c>
      <c r="R111" s="190"/>
    </row>
    <row r="112" spans="1:18" ht="15.6" x14ac:dyDescent="0.3">
      <c r="A112" s="140" t="s">
        <v>190</v>
      </c>
      <c r="B112" s="133">
        <f>E27</f>
        <v>19341136.202378865</v>
      </c>
      <c r="C112" s="133">
        <f t="shared" si="24"/>
        <v>19341136.202378865</v>
      </c>
      <c r="D112" s="133">
        <f t="shared" si="24"/>
        <v>19341136.202378865</v>
      </c>
      <c r="E112" s="133">
        <f t="shared" si="24"/>
        <v>19341136.202378865</v>
      </c>
      <c r="F112" s="133">
        <f t="shared" si="24"/>
        <v>19341136.202378865</v>
      </c>
      <c r="G112" s="133">
        <f t="shared" si="24"/>
        <v>19341136.202378865</v>
      </c>
      <c r="H112" s="102"/>
      <c r="I112" s="102"/>
      <c r="J112" s="102"/>
      <c r="K112" s="112" t="s">
        <v>248</v>
      </c>
      <c r="L112" s="202"/>
      <c r="M112" s="113"/>
      <c r="N112" s="211">
        <f>N110/N111-1</f>
        <v>-1.542500139854408E-2</v>
      </c>
      <c r="O112" s="212">
        <f>O110/O111-1</f>
        <v>1.4622802168269944E-2</v>
      </c>
      <c r="P112" s="211">
        <f>P110/P111-1</f>
        <v>-2.124139576815931E-2</v>
      </c>
      <c r="Q112" s="212">
        <f>Q110/Q111-1</f>
        <v>1.1525518980246563E-2</v>
      </c>
      <c r="R112" s="190"/>
    </row>
    <row r="113" spans="1:18" ht="15.6" x14ac:dyDescent="0.3">
      <c r="A113" s="140" t="s">
        <v>208</v>
      </c>
      <c r="B113" s="133">
        <f t="shared" ref="B113:G113" si="25">B111+B112</f>
        <v>298520892.20237887</v>
      </c>
      <c r="C113" s="133">
        <f t="shared" si="25"/>
        <v>298520892.20237887</v>
      </c>
      <c r="D113" s="133">
        <f t="shared" si="25"/>
        <v>298520892.20237887</v>
      </c>
      <c r="E113" s="133">
        <f t="shared" si="25"/>
        <v>298520892.20237887</v>
      </c>
      <c r="F113" s="133">
        <f t="shared" si="25"/>
        <v>298520892.20237887</v>
      </c>
      <c r="G113" s="133">
        <f t="shared" si="25"/>
        <v>298520892.20237887</v>
      </c>
      <c r="H113" s="102"/>
      <c r="I113" s="102"/>
      <c r="J113" s="102"/>
      <c r="K113" s="190"/>
      <c r="L113" s="190"/>
      <c r="M113" s="190"/>
      <c r="N113" s="190"/>
      <c r="O113" s="190"/>
      <c r="P113" s="190"/>
      <c r="Q113" s="190"/>
      <c r="R113" s="190"/>
    </row>
    <row r="114" spans="1:18" ht="15.6" x14ac:dyDescent="0.3">
      <c r="A114" s="140"/>
      <c r="B114" s="126"/>
      <c r="C114" s="126"/>
      <c r="D114" s="126"/>
      <c r="E114" s="126"/>
      <c r="F114" s="126"/>
      <c r="G114" s="126"/>
      <c r="H114" s="102"/>
      <c r="I114" s="102"/>
      <c r="J114" s="102"/>
      <c r="K114" s="190"/>
      <c r="L114" s="190"/>
      <c r="M114" s="190"/>
      <c r="N114" s="190"/>
      <c r="O114" s="190"/>
      <c r="P114" s="190"/>
      <c r="Q114" s="190"/>
      <c r="R114" s="190"/>
    </row>
    <row r="115" spans="1:18" ht="15.6" x14ac:dyDescent="0.3">
      <c r="A115" s="146" t="s">
        <v>209</v>
      </c>
      <c r="B115" s="154">
        <f t="shared" ref="B115:G115" si="26">B108/B113</f>
        <v>218.4359343124072</v>
      </c>
      <c r="C115" s="154">
        <f t="shared" si="26"/>
        <v>240.27952774364795</v>
      </c>
      <c r="D115" s="154">
        <f t="shared" si="26"/>
        <v>264.30748051801277</v>
      </c>
      <c r="E115" s="154">
        <f t="shared" si="26"/>
        <v>290.73822856981411</v>
      </c>
      <c r="F115" s="154">
        <f t="shared" si="26"/>
        <v>319.81205142679551</v>
      </c>
      <c r="G115" s="154">
        <f t="shared" si="26"/>
        <v>351.79325656947509</v>
      </c>
      <c r="H115" s="102"/>
      <c r="I115" s="102"/>
      <c r="J115" s="102"/>
      <c r="K115" s="102"/>
      <c r="L115" s="102"/>
      <c r="M115" s="102"/>
      <c r="N115" s="102"/>
      <c r="O115" s="102"/>
      <c r="P115" s="102"/>
      <c r="Q115" s="102"/>
      <c r="R115" s="102"/>
    </row>
    <row r="116" spans="1:18" ht="15.6" x14ac:dyDescent="0.3">
      <c r="A116" s="146" t="s">
        <v>210</v>
      </c>
      <c r="B116" s="133">
        <f t="shared" ref="B116:G116" si="27">B109/B111</f>
        <v>218.60289182285848</v>
      </c>
      <c r="C116" s="133">
        <f t="shared" si="27"/>
        <v>234.99810870957285</v>
      </c>
      <c r="D116" s="133">
        <f t="shared" si="27"/>
        <v>252.62296686279078</v>
      </c>
      <c r="E116" s="133">
        <f t="shared" si="27"/>
        <v>271.56968937750008</v>
      </c>
      <c r="F116" s="133">
        <f t="shared" si="27"/>
        <v>291.93741608081257</v>
      </c>
      <c r="G116" s="133">
        <f t="shared" si="27"/>
        <v>313.83272228687355</v>
      </c>
      <c r="H116" s="102"/>
      <c r="I116" s="102"/>
      <c r="J116" s="102"/>
    </row>
    <row r="117" spans="1:18" ht="15.6" x14ac:dyDescent="0.3">
      <c r="A117" s="134"/>
      <c r="B117" s="134"/>
      <c r="C117" s="134"/>
      <c r="D117" s="134"/>
      <c r="E117" s="134"/>
      <c r="F117" s="134"/>
      <c r="G117" s="134"/>
      <c r="H117" s="102"/>
      <c r="I117" s="102"/>
      <c r="J117" s="102"/>
    </row>
    <row r="118" spans="1:18" ht="15.6" x14ac:dyDescent="0.3">
      <c r="A118" s="149" t="s">
        <v>211</v>
      </c>
      <c r="B118" s="150">
        <f t="shared" ref="B118:G118" si="28">B115-B116</f>
        <v>-0.16695751045128304</v>
      </c>
      <c r="C118" s="150">
        <f t="shared" si="28"/>
        <v>5.2814190340750997</v>
      </c>
      <c r="D118" s="150">
        <f t="shared" si="28"/>
        <v>11.684513655221991</v>
      </c>
      <c r="E118" s="150">
        <f t="shared" si="28"/>
        <v>19.168539192314029</v>
      </c>
      <c r="F118" s="150">
        <f t="shared" si="28"/>
        <v>27.874635345982938</v>
      </c>
      <c r="G118" s="150">
        <f t="shared" si="28"/>
        <v>37.960534282601543</v>
      </c>
      <c r="H118" s="102"/>
      <c r="I118" s="102"/>
      <c r="J118" s="102"/>
    </row>
    <row r="119" spans="1:18" ht="15.6" x14ac:dyDescent="0.3">
      <c r="A119" s="149" t="s">
        <v>212</v>
      </c>
      <c r="B119" s="155">
        <f t="shared" ref="B119:G119" si="29">B115/B116-1</f>
        <v>-7.6374794980560434E-4</v>
      </c>
      <c r="C119" s="155">
        <f t="shared" si="29"/>
        <v>2.2474304423454994E-2</v>
      </c>
      <c r="D119" s="155">
        <f t="shared" si="29"/>
        <v>4.6252776619349456E-2</v>
      </c>
      <c r="E119" s="155">
        <f t="shared" si="29"/>
        <v>7.0584236540729872E-2</v>
      </c>
      <c r="F119" s="155">
        <f t="shared" si="29"/>
        <v>9.5481544367258531E-2</v>
      </c>
      <c r="G119" s="155">
        <f t="shared" si="29"/>
        <v>0.12095785935254355</v>
      </c>
      <c r="H119" s="102"/>
      <c r="I119" s="102"/>
      <c r="J119" s="102"/>
    </row>
    <row r="120" spans="1:18" ht="15.6" x14ac:dyDescent="0.3">
      <c r="A120" s="149" t="s">
        <v>213</v>
      </c>
      <c r="B120" s="152">
        <f t="shared" ref="B120:G120" si="30">IF(B119&gt;0,$D$29,$D$30)</f>
        <v>0</v>
      </c>
      <c r="C120" s="152">
        <f t="shared" si="30"/>
        <v>0</v>
      </c>
      <c r="D120" s="152">
        <f t="shared" si="30"/>
        <v>0</v>
      </c>
      <c r="E120" s="152">
        <f t="shared" si="30"/>
        <v>0</v>
      </c>
      <c r="F120" s="152">
        <f t="shared" si="30"/>
        <v>0</v>
      </c>
      <c r="G120" s="152">
        <f t="shared" si="30"/>
        <v>0</v>
      </c>
      <c r="H120" s="102"/>
      <c r="I120" s="102"/>
      <c r="J120" s="102"/>
    </row>
    <row r="121" spans="1:18" x14ac:dyDescent="0.3">
      <c r="A121" s="102"/>
      <c r="B121" s="102"/>
      <c r="C121" s="102"/>
      <c r="D121" s="102"/>
      <c r="E121" s="102"/>
      <c r="F121" s="102"/>
      <c r="G121" s="102"/>
      <c r="H121" s="102"/>
      <c r="I121" s="102"/>
      <c r="J121" s="102"/>
    </row>
    <row r="122" spans="1:18" x14ac:dyDescent="0.3">
      <c r="A122" s="102"/>
      <c r="B122" s="102"/>
      <c r="C122" s="102"/>
      <c r="D122" s="102"/>
      <c r="E122" s="102"/>
      <c r="F122" s="102"/>
      <c r="G122" s="102"/>
      <c r="H122" s="102"/>
      <c r="I122" s="102"/>
      <c r="J122" s="102"/>
    </row>
    <row r="123" spans="1:18" x14ac:dyDescent="0.3">
      <c r="A123" s="102"/>
      <c r="B123" s="102"/>
      <c r="C123" s="102"/>
      <c r="D123" s="102"/>
      <c r="E123" s="102"/>
      <c r="F123" s="102"/>
      <c r="G123" s="102"/>
      <c r="H123" s="102"/>
      <c r="I123" s="102"/>
      <c r="J123" s="102"/>
    </row>
    <row r="124" spans="1:18" ht="33" x14ac:dyDescent="0.6">
      <c r="A124" s="257" t="s">
        <v>215</v>
      </c>
      <c r="B124" s="260"/>
      <c r="C124" s="260"/>
      <c r="D124" s="260"/>
      <c r="E124" s="260"/>
      <c r="F124" s="260"/>
      <c r="G124" s="260"/>
      <c r="H124" s="102"/>
      <c r="I124" s="102"/>
      <c r="J124" s="102"/>
    </row>
    <row r="125" spans="1:18" ht="15.6" x14ac:dyDescent="0.3">
      <c r="A125" s="138" t="s">
        <v>197</v>
      </c>
      <c r="B125" s="139" t="s">
        <v>198</v>
      </c>
      <c r="C125" s="139" t="s">
        <v>199</v>
      </c>
      <c r="D125" s="139" t="s">
        <v>200</v>
      </c>
      <c r="E125" s="139" t="s">
        <v>201</v>
      </c>
      <c r="F125" s="139" t="s">
        <v>202</v>
      </c>
      <c r="G125" s="139" t="s">
        <v>203</v>
      </c>
      <c r="H125" s="102"/>
      <c r="I125" s="102"/>
      <c r="J125" s="102"/>
    </row>
    <row r="126" spans="1:18" ht="15.6" x14ac:dyDescent="0.3">
      <c r="A126" s="140" t="s">
        <v>175</v>
      </c>
      <c r="B126" s="126">
        <f>B34</f>
        <v>82472300000.000031</v>
      </c>
      <c r="C126" s="126">
        <f>B126*(1+$B$130)</f>
        <v>90719530000.000046</v>
      </c>
      <c r="D126" s="126">
        <f t="shared" ref="D126:G126" si="31">C126*(1+$B$130)</f>
        <v>99791483000.000061</v>
      </c>
      <c r="E126" s="126">
        <f t="shared" si="31"/>
        <v>109770631300.00008</v>
      </c>
      <c r="F126" s="126">
        <f t="shared" si="31"/>
        <v>120747694430.00009</v>
      </c>
      <c r="G126" s="126">
        <f t="shared" si="31"/>
        <v>132822463873.00011</v>
      </c>
      <c r="H126" s="102"/>
      <c r="I126" s="102"/>
      <c r="J126" s="102"/>
    </row>
    <row r="127" spans="1:18" ht="15.6" x14ac:dyDescent="0.3">
      <c r="A127" s="140" t="s">
        <v>176</v>
      </c>
      <c r="B127" s="126">
        <f>B35</f>
        <v>2646200000</v>
      </c>
      <c r="C127" s="129"/>
      <c r="D127" s="129"/>
      <c r="E127" s="129"/>
      <c r="F127" s="129"/>
      <c r="G127" s="129"/>
      <c r="H127" s="102"/>
      <c r="I127" s="102"/>
      <c r="J127" s="102"/>
    </row>
    <row r="128" spans="1:18" ht="15.6" x14ac:dyDescent="0.3">
      <c r="A128" s="140" t="s">
        <v>177</v>
      </c>
      <c r="B128" s="126">
        <f>B36</f>
        <v>3000000000</v>
      </c>
      <c r="C128" s="126"/>
      <c r="D128" s="126"/>
      <c r="E128" s="126"/>
      <c r="F128" s="126"/>
      <c r="G128" s="126"/>
      <c r="H128" s="102" t="s">
        <v>216</v>
      </c>
      <c r="I128" s="102"/>
      <c r="J128" s="102"/>
    </row>
    <row r="129" spans="1:10" ht="15.6" x14ac:dyDescent="0.3">
      <c r="A129" s="141" t="s">
        <v>178</v>
      </c>
      <c r="B129" s="129">
        <f>SUM(B126:B128)</f>
        <v>88118500000.000031</v>
      </c>
      <c r="C129" s="129">
        <f>B129*(1+$B$130)</f>
        <v>96930350000.000046</v>
      </c>
      <c r="D129" s="129">
        <f t="shared" ref="D129:G129" si="32">C129*(1+$B$130)</f>
        <v>106623385000.00006</v>
      </c>
      <c r="E129" s="129">
        <f t="shared" si="32"/>
        <v>117285723500.00008</v>
      </c>
      <c r="F129" s="129">
        <f t="shared" si="32"/>
        <v>129014295850.00009</v>
      </c>
      <c r="G129" s="129">
        <f t="shared" si="32"/>
        <v>141915725435.00012</v>
      </c>
      <c r="H129" s="102"/>
      <c r="I129" s="102"/>
      <c r="J129" s="102"/>
    </row>
    <row r="130" spans="1:10" ht="15.6" x14ac:dyDescent="0.3">
      <c r="A130" s="140" t="s">
        <v>192</v>
      </c>
      <c r="B130" s="130">
        <f>B53</f>
        <v>0.1</v>
      </c>
      <c r="C130" s="129"/>
      <c r="D130" s="129"/>
      <c r="E130" s="129"/>
      <c r="F130" s="129"/>
      <c r="G130" s="129"/>
      <c r="H130" s="102"/>
      <c r="I130" s="102"/>
      <c r="J130" s="102"/>
    </row>
    <row r="131" spans="1:10" ht="15.6" x14ac:dyDescent="0.3">
      <c r="A131" s="140" t="s">
        <v>179</v>
      </c>
      <c r="B131" s="126">
        <f>B38</f>
        <v>0</v>
      </c>
      <c r="C131" s="126">
        <f t="shared" ref="C131:G132" si="33">B131</f>
        <v>0</v>
      </c>
      <c r="D131" s="126">
        <f t="shared" si="33"/>
        <v>0</v>
      </c>
      <c r="E131" s="126">
        <f t="shared" si="33"/>
        <v>0</v>
      </c>
      <c r="F131" s="126">
        <f t="shared" si="33"/>
        <v>0</v>
      </c>
      <c r="G131" s="126">
        <f t="shared" si="33"/>
        <v>0</v>
      </c>
      <c r="H131" s="102"/>
      <c r="I131" s="102"/>
      <c r="J131" s="102"/>
    </row>
    <row r="132" spans="1:10" ht="15.6" x14ac:dyDescent="0.3">
      <c r="A132" s="140" t="s">
        <v>180</v>
      </c>
      <c r="B132" s="126">
        <f>B39</f>
        <v>0</v>
      </c>
      <c r="C132" s="126">
        <f t="shared" si="33"/>
        <v>0</v>
      </c>
      <c r="D132" s="126">
        <f t="shared" si="33"/>
        <v>0</v>
      </c>
      <c r="E132" s="126">
        <f t="shared" si="33"/>
        <v>0</v>
      </c>
      <c r="F132" s="126">
        <f t="shared" si="33"/>
        <v>0</v>
      </c>
      <c r="G132" s="126">
        <f t="shared" si="33"/>
        <v>0</v>
      </c>
      <c r="H132" s="102"/>
      <c r="I132" s="102"/>
      <c r="J132" s="102"/>
    </row>
    <row r="133" spans="1:10" ht="15.6" x14ac:dyDescent="0.3">
      <c r="A133" s="140" t="s">
        <v>204</v>
      </c>
      <c r="B133" s="126">
        <f>B40</f>
        <v>0</v>
      </c>
      <c r="C133" s="126">
        <f>B133*(1-$D$135)</f>
        <v>0</v>
      </c>
      <c r="D133" s="129">
        <f>C133*(1-$D$135)</f>
        <v>0</v>
      </c>
      <c r="E133" s="129">
        <f>D133*(1-$D$135)</f>
        <v>0</v>
      </c>
      <c r="F133" s="129">
        <f>E133*(1-$D$135)</f>
        <v>0</v>
      </c>
      <c r="G133" s="129">
        <f>F133*(1-$D$135)</f>
        <v>0</v>
      </c>
      <c r="H133" s="102"/>
      <c r="I133" s="102"/>
      <c r="J133" s="102"/>
    </row>
    <row r="134" spans="1:10" ht="15.6" x14ac:dyDescent="0.3">
      <c r="A134" s="140"/>
      <c r="B134" s="143"/>
      <c r="C134" s="142"/>
      <c r="D134" s="142"/>
      <c r="E134" s="142"/>
      <c r="F134" s="142"/>
      <c r="G134" s="142"/>
      <c r="H134" s="102"/>
      <c r="I134" s="102"/>
      <c r="J134" s="102"/>
    </row>
    <row r="135" spans="1:10" ht="15.6" x14ac:dyDescent="0.3">
      <c r="A135" s="140" t="s">
        <v>195</v>
      </c>
      <c r="B135" s="143">
        <f>B56</f>
        <v>0.05</v>
      </c>
      <c r="C135" s="142"/>
      <c r="D135" s="142"/>
      <c r="E135" s="142"/>
      <c r="F135" s="142"/>
      <c r="G135" s="142"/>
      <c r="H135" s="102"/>
      <c r="I135" s="102"/>
      <c r="J135" s="102"/>
    </row>
    <row r="136" spans="1:10" ht="15.6" x14ac:dyDescent="0.3">
      <c r="A136" s="140" t="s">
        <v>182</v>
      </c>
      <c r="B136" s="143">
        <f>B41</f>
        <v>0.05</v>
      </c>
      <c r="C136" s="142"/>
      <c r="D136" s="142"/>
      <c r="E136" s="142"/>
      <c r="F136" s="142"/>
      <c r="G136" s="142"/>
      <c r="H136" s="102"/>
      <c r="I136" s="102"/>
      <c r="J136" s="102"/>
    </row>
    <row r="137" spans="1:10" ht="15.6" x14ac:dyDescent="0.3">
      <c r="A137" s="140" t="s">
        <v>217</v>
      </c>
      <c r="B137" s="156">
        <v>0</v>
      </c>
      <c r="C137" s="142">
        <f>B137*(1-$D$139)</f>
        <v>0</v>
      </c>
      <c r="D137" s="142">
        <f>C137*(1-$D$139)</f>
        <v>0</v>
      </c>
      <c r="E137" s="142">
        <f>D137*(1-$D$139)</f>
        <v>0</v>
      </c>
      <c r="F137" s="142">
        <f>E137*(1-$D$139)</f>
        <v>0</v>
      </c>
      <c r="G137" s="142">
        <f>F137*(1-$D$139)</f>
        <v>0</v>
      </c>
      <c r="H137" s="102"/>
      <c r="I137" s="102"/>
      <c r="J137" s="102"/>
    </row>
    <row r="138" spans="1:10" ht="15.6" x14ac:dyDescent="0.3">
      <c r="A138" s="140" t="s">
        <v>194</v>
      </c>
      <c r="B138" s="145">
        <f>B55</f>
        <v>0.105</v>
      </c>
      <c r="C138" s="126"/>
      <c r="D138" s="126"/>
      <c r="E138" s="126"/>
      <c r="F138" s="126"/>
      <c r="G138" s="126"/>
      <c r="H138" s="102"/>
      <c r="I138" s="102"/>
      <c r="J138" s="102"/>
    </row>
    <row r="139" spans="1:10" ht="15.6" x14ac:dyDescent="0.3">
      <c r="A139" s="141" t="s">
        <v>184</v>
      </c>
      <c r="B139" s="129">
        <f>B129-B131-B132-B133</f>
        <v>88118500000.000031</v>
      </c>
      <c r="C139" s="129">
        <f>C129-C131-C132-C133-C135</f>
        <v>96930350000.000046</v>
      </c>
      <c r="D139" s="129">
        <f>D129-D131-D132-D133-D135</f>
        <v>106623385000.00006</v>
      </c>
      <c r="E139" s="129">
        <f>E129-E131-E132-E133-E135</f>
        <v>117285723500.00008</v>
      </c>
      <c r="F139" s="129">
        <f>F129-F131-F132-F133-F135</f>
        <v>129014295850.00009</v>
      </c>
      <c r="G139" s="129">
        <f>G129-G131-G132-G133-G135</f>
        <v>141915725435.00012</v>
      </c>
      <c r="H139" s="102"/>
      <c r="I139" s="102"/>
      <c r="J139" s="102"/>
    </row>
    <row r="140" spans="1:10" ht="15.6" x14ac:dyDescent="0.3">
      <c r="A140" s="140" t="s">
        <v>267</v>
      </c>
      <c r="B140" s="129">
        <f>B139*26%</f>
        <v>22910810000.000008</v>
      </c>
      <c r="C140" s="129">
        <f t="shared" ref="C140:G140" si="34">C139*26%</f>
        <v>25201891000.000011</v>
      </c>
      <c r="D140" s="129">
        <f t="shared" si="34"/>
        <v>27722080100.000015</v>
      </c>
      <c r="E140" s="129">
        <f t="shared" si="34"/>
        <v>30494288110.000019</v>
      </c>
      <c r="F140" s="129">
        <f t="shared" si="34"/>
        <v>33543716921.000027</v>
      </c>
      <c r="G140" s="129">
        <f t="shared" si="34"/>
        <v>36898088613.100037</v>
      </c>
      <c r="H140" s="102"/>
      <c r="I140" s="102"/>
      <c r="J140" s="102"/>
    </row>
    <row r="141" spans="1:10" ht="15.6" x14ac:dyDescent="0.3">
      <c r="A141" s="141" t="s">
        <v>186</v>
      </c>
      <c r="B141" s="129">
        <f t="shared" ref="B141:G141" si="35">B139-B140</f>
        <v>65207690000.000023</v>
      </c>
      <c r="C141" s="129">
        <f t="shared" si="35"/>
        <v>71728459000.000031</v>
      </c>
      <c r="D141" s="129">
        <f t="shared" si="35"/>
        <v>78901304900.000046</v>
      </c>
      <c r="E141" s="129">
        <f t="shared" si="35"/>
        <v>86791435390.000061</v>
      </c>
      <c r="F141" s="129">
        <f t="shared" si="35"/>
        <v>95470578929.000061</v>
      </c>
      <c r="G141" s="129">
        <f t="shared" si="35"/>
        <v>105017636821.90009</v>
      </c>
      <c r="H141" s="102"/>
      <c r="I141" s="102"/>
      <c r="J141" s="102"/>
    </row>
    <row r="142" spans="1:10" ht="15.6" x14ac:dyDescent="0.3">
      <c r="A142" s="141" t="s">
        <v>218</v>
      </c>
      <c r="B142" s="129">
        <f>B126*(1-26%)</f>
        <v>61029502000.000023</v>
      </c>
      <c r="C142" s="129">
        <f>B142*1.075</f>
        <v>65606714650.000023</v>
      </c>
      <c r="D142" s="129">
        <f t="shared" ref="D142:G142" si="36">C142*1.075</f>
        <v>70527218248.750015</v>
      </c>
      <c r="E142" s="129">
        <f t="shared" si="36"/>
        <v>75816759617.406265</v>
      </c>
      <c r="F142" s="129">
        <f t="shared" si="36"/>
        <v>81503016588.711731</v>
      </c>
      <c r="G142" s="129">
        <f t="shared" si="36"/>
        <v>87615742832.865112</v>
      </c>
      <c r="H142" s="102"/>
      <c r="I142" s="102"/>
      <c r="J142" s="102"/>
    </row>
    <row r="143" spans="1:10" ht="15.6" x14ac:dyDescent="0.3">
      <c r="A143" s="141"/>
      <c r="B143" s="126"/>
      <c r="C143" s="126"/>
      <c r="D143" s="126"/>
      <c r="E143" s="126"/>
      <c r="F143" s="126"/>
      <c r="G143" s="126"/>
      <c r="H143" s="102"/>
      <c r="I143" s="102"/>
      <c r="J143" s="102"/>
    </row>
    <row r="144" spans="1:10" ht="15.6" x14ac:dyDescent="0.3">
      <c r="A144" s="140" t="s">
        <v>189</v>
      </c>
      <c r="B144" s="126">
        <f>B50</f>
        <v>279179756</v>
      </c>
      <c r="C144" s="126">
        <f t="shared" ref="C144:G145" si="37">B144</f>
        <v>279179756</v>
      </c>
      <c r="D144" s="126">
        <f t="shared" si="37"/>
        <v>279179756</v>
      </c>
      <c r="E144" s="126">
        <f t="shared" si="37"/>
        <v>279179756</v>
      </c>
      <c r="F144" s="126">
        <f t="shared" si="37"/>
        <v>279179756</v>
      </c>
      <c r="G144" s="126">
        <f t="shared" si="37"/>
        <v>279179756</v>
      </c>
      <c r="H144" s="102"/>
      <c r="I144" s="102"/>
      <c r="J144" s="102"/>
    </row>
    <row r="145" spans="1:10" ht="15.6" x14ac:dyDescent="0.3">
      <c r="A145" s="140" t="s">
        <v>190</v>
      </c>
      <c r="B145" s="133">
        <f>G27</f>
        <v>0</v>
      </c>
      <c r="C145" s="133">
        <f>B145</f>
        <v>0</v>
      </c>
      <c r="D145" s="133">
        <f t="shared" si="37"/>
        <v>0</v>
      </c>
      <c r="E145" s="133">
        <f t="shared" si="37"/>
        <v>0</v>
      </c>
      <c r="F145" s="133">
        <f t="shared" si="37"/>
        <v>0</v>
      </c>
      <c r="G145" s="133">
        <f t="shared" si="37"/>
        <v>0</v>
      </c>
      <c r="H145" s="102"/>
      <c r="I145" s="102"/>
      <c r="J145" s="102"/>
    </row>
    <row r="146" spans="1:10" ht="15.6" x14ac:dyDescent="0.3">
      <c r="A146" s="140" t="s">
        <v>208</v>
      </c>
      <c r="B146" s="133">
        <f t="shared" ref="B146:G146" si="38">B144+B145</f>
        <v>279179756</v>
      </c>
      <c r="C146" s="133">
        <f t="shared" si="38"/>
        <v>279179756</v>
      </c>
      <c r="D146" s="133">
        <f t="shared" si="38"/>
        <v>279179756</v>
      </c>
      <c r="E146" s="133">
        <f t="shared" si="38"/>
        <v>279179756</v>
      </c>
      <c r="F146" s="133">
        <f t="shared" si="38"/>
        <v>279179756</v>
      </c>
      <c r="G146" s="133">
        <f t="shared" si="38"/>
        <v>279179756</v>
      </c>
      <c r="H146" s="102"/>
      <c r="I146" s="102"/>
      <c r="J146" s="102"/>
    </row>
    <row r="147" spans="1:10" ht="15.6" x14ac:dyDescent="0.3">
      <c r="A147" s="140"/>
      <c r="B147" s="126"/>
      <c r="C147" s="126"/>
      <c r="D147" s="126"/>
      <c r="E147" s="126"/>
      <c r="F147" s="126"/>
      <c r="G147" s="126"/>
      <c r="H147" s="102"/>
      <c r="I147" s="102"/>
      <c r="J147" s="102"/>
    </row>
    <row r="148" spans="1:10" ht="15.6" x14ac:dyDescent="0.3">
      <c r="A148" s="146" t="s">
        <v>209</v>
      </c>
      <c r="B148" s="154">
        <f t="shared" ref="B148:G148" si="39">B141/B146</f>
        <v>233.5688336943744</v>
      </c>
      <c r="C148" s="154">
        <f t="shared" si="39"/>
        <v>256.92571706381187</v>
      </c>
      <c r="D148" s="154">
        <f t="shared" si="39"/>
        <v>282.61828877019309</v>
      </c>
      <c r="E148" s="154">
        <f t="shared" si="39"/>
        <v>310.88011764721244</v>
      </c>
      <c r="F148" s="154">
        <f t="shared" si="39"/>
        <v>341.96812941193366</v>
      </c>
      <c r="G148" s="154">
        <f t="shared" si="39"/>
        <v>376.16494235312706</v>
      </c>
      <c r="H148" s="102"/>
      <c r="I148" s="102"/>
      <c r="J148" s="102"/>
    </row>
    <row r="149" spans="1:10" ht="15.6" x14ac:dyDescent="0.3">
      <c r="A149" s="146" t="s">
        <v>210</v>
      </c>
      <c r="B149" s="133">
        <f t="shared" ref="B149:G149" si="40">B142/B144</f>
        <v>218.60289182285848</v>
      </c>
      <c r="C149" s="133">
        <f t="shared" si="40"/>
        <v>234.99810870957285</v>
      </c>
      <c r="D149" s="133">
        <f t="shared" si="40"/>
        <v>252.62296686279078</v>
      </c>
      <c r="E149" s="133">
        <f t="shared" si="40"/>
        <v>271.56968937750008</v>
      </c>
      <c r="F149" s="133">
        <f t="shared" si="40"/>
        <v>291.93741608081257</v>
      </c>
      <c r="G149" s="133">
        <f t="shared" si="40"/>
        <v>313.83272228687355</v>
      </c>
      <c r="H149" s="102"/>
      <c r="I149" s="102"/>
      <c r="J149" s="102"/>
    </row>
    <row r="150" spans="1:10" ht="15.6" x14ac:dyDescent="0.3">
      <c r="A150" s="126"/>
      <c r="B150" s="126"/>
      <c r="C150" s="126"/>
      <c r="D150" s="126"/>
      <c r="E150" s="126"/>
      <c r="F150" s="126"/>
      <c r="G150" s="126"/>
      <c r="H150" s="102"/>
      <c r="I150" s="102"/>
      <c r="J150" s="102"/>
    </row>
    <row r="151" spans="1:10" ht="15.6" x14ac:dyDescent="0.3">
      <c r="A151" s="149" t="s">
        <v>211</v>
      </c>
      <c r="B151" s="150">
        <f t="shared" ref="B151:G151" si="41">B148-B149</f>
        <v>14.965941871515923</v>
      </c>
      <c r="C151" s="150">
        <f t="shared" si="41"/>
        <v>21.927608354239027</v>
      </c>
      <c r="D151" s="150">
        <f t="shared" si="41"/>
        <v>29.995321907402314</v>
      </c>
      <c r="E151" s="150">
        <f t="shared" si="41"/>
        <v>39.310428269712361</v>
      </c>
      <c r="F151" s="150">
        <f t="shared" si="41"/>
        <v>50.030713331121092</v>
      </c>
      <c r="G151" s="150">
        <f t="shared" si="41"/>
        <v>62.332220066253512</v>
      </c>
      <c r="H151" s="102"/>
      <c r="I151" s="102"/>
      <c r="J151" s="102"/>
    </row>
    <row r="152" spans="1:10" ht="15.6" x14ac:dyDescent="0.3">
      <c r="A152" s="149" t="s">
        <v>212</v>
      </c>
      <c r="B152" s="155">
        <f t="shared" ref="B152:G152" si="42">B148/B149-1</f>
        <v>6.8461774438205225E-2</v>
      </c>
      <c r="C152" s="155">
        <f t="shared" si="42"/>
        <v>9.3309722680954499E-2</v>
      </c>
      <c r="D152" s="155">
        <f t="shared" si="42"/>
        <v>0.11873553018516292</v>
      </c>
      <c r="E152" s="155">
        <f t="shared" si="42"/>
        <v>0.14475263553830642</v>
      </c>
      <c r="F152" s="155">
        <f t="shared" si="42"/>
        <v>0.1713747898531508</v>
      </c>
      <c r="G152" s="155">
        <f t="shared" si="42"/>
        <v>0.19861606403578214</v>
      </c>
      <c r="H152" s="102"/>
      <c r="I152" s="102"/>
      <c r="J152" s="102"/>
    </row>
    <row r="153" spans="1:10" ht="15.6" x14ac:dyDescent="0.3">
      <c r="A153" s="149" t="s">
        <v>213</v>
      </c>
      <c r="B153" s="152">
        <f t="shared" ref="B153:G153" si="43">IF(B152&gt;0,$D$29,$D$30)</f>
        <v>0</v>
      </c>
      <c r="C153" s="152">
        <f t="shared" si="43"/>
        <v>0</v>
      </c>
      <c r="D153" s="152">
        <f t="shared" si="43"/>
        <v>0</v>
      </c>
      <c r="E153" s="152">
        <f t="shared" si="43"/>
        <v>0</v>
      </c>
      <c r="F153" s="152">
        <f t="shared" si="43"/>
        <v>0</v>
      </c>
      <c r="G153" s="152">
        <f t="shared" si="43"/>
        <v>0</v>
      </c>
      <c r="H153" s="102"/>
      <c r="I153" s="102"/>
      <c r="J153" s="102"/>
    </row>
    <row r="154" spans="1:10" x14ac:dyDescent="0.3">
      <c r="A154" s="102"/>
      <c r="B154" s="102"/>
      <c r="C154" s="102"/>
      <c r="D154" s="102"/>
      <c r="E154" s="102"/>
      <c r="F154" s="102"/>
      <c r="G154" s="102"/>
      <c r="H154" s="102"/>
      <c r="I154" s="102"/>
      <c r="J154" s="102"/>
    </row>
    <row r="155" spans="1:10" x14ac:dyDescent="0.3">
      <c r="A155" s="102"/>
      <c r="B155" s="102"/>
      <c r="C155" s="102"/>
      <c r="D155" s="102"/>
      <c r="E155" s="102"/>
      <c r="F155" s="102"/>
      <c r="G155" s="102"/>
      <c r="H155" s="102"/>
      <c r="I155" s="102"/>
      <c r="J155" s="102"/>
    </row>
    <row r="156" spans="1:10" x14ac:dyDescent="0.3">
      <c r="A156" s="102"/>
      <c r="B156" s="102"/>
      <c r="C156" s="102"/>
    </row>
    <row r="157" spans="1:10" x14ac:dyDescent="0.3">
      <c r="A157" s="102"/>
      <c r="B157" s="102"/>
      <c r="C157" s="102"/>
    </row>
    <row r="158" spans="1:10" x14ac:dyDescent="0.3">
      <c r="A158" s="102"/>
      <c r="B158" s="102"/>
      <c r="C158" s="102"/>
    </row>
    <row r="159" spans="1:10" x14ac:dyDescent="0.3">
      <c r="A159" s="102"/>
      <c r="B159" s="102"/>
      <c r="C159" s="102"/>
    </row>
    <row r="160" spans="1:10" x14ac:dyDescent="0.3">
      <c r="A160" s="102"/>
      <c r="B160" s="102"/>
      <c r="C160" s="102"/>
    </row>
    <row r="161" spans="1:3" x14ac:dyDescent="0.3">
      <c r="A161" s="102"/>
      <c r="B161" s="102"/>
      <c r="C161" s="102"/>
    </row>
    <row r="162" spans="1:3" x14ac:dyDescent="0.3">
      <c r="A162" s="102"/>
      <c r="B162" s="102"/>
      <c r="C162" s="102"/>
    </row>
    <row r="163" spans="1:3" x14ac:dyDescent="0.3">
      <c r="A163" s="102"/>
      <c r="B163" s="102"/>
      <c r="C163" s="102"/>
    </row>
    <row r="164" spans="1:3" x14ac:dyDescent="0.3">
      <c r="A164" s="102"/>
      <c r="B164" s="102"/>
      <c r="C164" s="102"/>
    </row>
    <row r="165" spans="1:3" x14ac:dyDescent="0.3">
      <c r="A165" s="102"/>
      <c r="B165" s="102"/>
      <c r="C165" s="102"/>
    </row>
    <row r="166" spans="1:3" x14ac:dyDescent="0.3">
      <c r="A166" s="102"/>
      <c r="B166" s="102"/>
      <c r="C166" s="102"/>
    </row>
    <row r="167" spans="1:3" x14ac:dyDescent="0.3">
      <c r="A167" s="102"/>
      <c r="B167" s="102"/>
      <c r="C167" s="102"/>
    </row>
    <row r="168" spans="1:3" x14ac:dyDescent="0.3">
      <c r="A168" s="102"/>
      <c r="B168" s="102"/>
      <c r="C168" s="102"/>
    </row>
    <row r="169" spans="1:3" x14ac:dyDescent="0.3">
      <c r="A169" s="102"/>
      <c r="B169" s="102"/>
      <c r="C169" s="102"/>
    </row>
    <row r="170" spans="1:3" x14ac:dyDescent="0.3">
      <c r="A170" s="102"/>
      <c r="B170" s="102"/>
      <c r="C170" s="102"/>
    </row>
    <row r="171" spans="1:3" x14ac:dyDescent="0.3">
      <c r="A171" s="102"/>
      <c r="B171" s="102"/>
      <c r="C171" s="102"/>
    </row>
    <row r="172" spans="1:3" x14ac:dyDescent="0.3">
      <c r="A172" s="102"/>
      <c r="B172" s="102"/>
      <c r="C172" s="102"/>
    </row>
  </sheetData>
  <mergeCells count="76">
    <mergeCell ref="N94:O95"/>
    <mergeCell ref="K16:T16"/>
    <mergeCell ref="K39:T39"/>
    <mergeCell ref="K63:T63"/>
    <mergeCell ref="A124:G124"/>
    <mergeCell ref="G26:H26"/>
    <mergeCell ref="C21:D21"/>
    <mergeCell ref="E21:F21"/>
    <mergeCell ref="G21:H21"/>
    <mergeCell ref="A22:B22"/>
    <mergeCell ref="A23:B23"/>
    <mergeCell ref="C24:D24"/>
    <mergeCell ref="E24:F24"/>
    <mergeCell ref="G24:H24"/>
    <mergeCell ref="C19:D19"/>
    <mergeCell ref="E19:F19"/>
    <mergeCell ref="A33:G33"/>
    <mergeCell ref="A59:G59"/>
    <mergeCell ref="A91:G91"/>
    <mergeCell ref="C25:D25"/>
    <mergeCell ref="E25:F25"/>
    <mergeCell ref="G25:H25"/>
    <mergeCell ref="C26:D26"/>
    <mergeCell ref="E26:F26"/>
    <mergeCell ref="K4:O4"/>
    <mergeCell ref="M6:P6"/>
    <mergeCell ref="P7:P8"/>
    <mergeCell ref="C27:D27"/>
    <mergeCell ref="E27:F27"/>
    <mergeCell ref="G27:H27"/>
    <mergeCell ref="G19:H19"/>
    <mergeCell ref="C20:D20"/>
    <mergeCell ref="E20:F20"/>
    <mergeCell ref="G20:H20"/>
    <mergeCell ref="C17:D17"/>
    <mergeCell ref="E17:F17"/>
    <mergeCell ref="G17:H17"/>
    <mergeCell ref="C18:D18"/>
    <mergeCell ref="E18:F18"/>
    <mergeCell ref="G18:H18"/>
    <mergeCell ref="C15:D15"/>
    <mergeCell ref="E15:F15"/>
    <mergeCell ref="G15:H15"/>
    <mergeCell ref="C16:D16"/>
    <mergeCell ref="E16:F16"/>
    <mergeCell ref="G16:H16"/>
    <mergeCell ref="C13:D13"/>
    <mergeCell ref="E13:F13"/>
    <mergeCell ref="G13:H13"/>
    <mergeCell ref="C14:D14"/>
    <mergeCell ref="E14:F14"/>
    <mergeCell ref="G14:H14"/>
    <mergeCell ref="C11:D11"/>
    <mergeCell ref="E11:F11"/>
    <mergeCell ref="G11:H11"/>
    <mergeCell ref="C12:D12"/>
    <mergeCell ref="E12:F12"/>
    <mergeCell ref="G12:H12"/>
    <mergeCell ref="C9:D9"/>
    <mergeCell ref="E9:F9"/>
    <mergeCell ref="G9:H9"/>
    <mergeCell ref="C10:D10"/>
    <mergeCell ref="E10:F10"/>
    <mergeCell ref="G10:H10"/>
    <mergeCell ref="C6:D6"/>
    <mergeCell ref="E6:F6"/>
    <mergeCell ref="G6:H6"/>
    <mergeCell ref="C7:D7"/>
    <mergeCell ref="E7:F7"/>
    <mergeCell ref="G7:H7"/>
    <mergeCell ref="I5:J5"/>
    <mergeCell ref="A2:H2"/>
    <mergeCell ref="A4:H4"/>
    <mergeCell ref="C5:D5"/>
    <mergeCell ref="E5:F5"/>
    <mergeCell ref="G5:H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F6434-43F1-45D0-9220-23F2082EF605}">
  <dimension ref="A1:F10"/>
  <sheetViews>
    <sheetView zoomScale="90" workbookViewId="0">
      <selection activeCell="E8" sqref="E8"/>
    </sheetView>
  </sheetViews>
  <sheetFormatPr defaultRowHeight="14.4" x14ac:dyDescent="0.3"/>
  <cols>
    <col min="1" max="1" width="18.109375" customWidth="1"/>
    <col min="2" max="2" width="22.33203125" customWidth="1"/>
    <col min="3" max="3" width="22" customWidth="1"/>
    <col min="4" max="4" width="19.5546875" customWidth="1"/>
    <col min="5" max="5" width="19.44140625" customWidth="1"/>
    <col min="6" max="6" width="21.77734375" customWidth="1"/>
  </cols>
  <sheetData>
    <row r="1" spans="1:6" ht="15" thickBot="1" x14ac:dyDescent="0.35">
      <c r="A1" s="224" t="s">
        <v>268</v>
      </c>
      <c r="B1" s="224" t="s">
        <v>269</v>
      </c>
      <c r="C1" s="224" t="s">
        <v>286</v>
      </c>
      <c r="D1" s="224" t="s">
        <v>287</v>
      </c>
      <c r="E1" s="224" t="s">
        <v>270</v>
      </c>
      <c r="F1" s="224" t="s">
        <v>271</v>
      </c>
    </row>
    <row r="2" spans="1:6" ht="58.2" thickBot="1" x14ac:dyDescent="0.35">
      <c r="A2" s="223" t="s">
        <v>272</v>
      </c>
      <c r="B2" s="223" t="s">
        <v>273</v>
      </c>
      <c r="C2" s="225">
        <v>150</v>
      </c>
      <c r="D2" s="225">
        <v>200</v>
      </c>
      <c r="E2" s="225">
        <v>250</v>
      </c>
      <c r="F2" s="223" t="s">
        <v>274</v>
      </c>
    </row>
    <row r="3" spans="1:6" ht="29.4" thickBot="1" x14ac:dyDescent="0.35">
      <c r="A3" s="223" t="s">
        <v>275</v>
      </c>
      <c r="B3" s="223" t="s">
        <v>276</v>
      </c>
      <c r="C3" s="225">
        <v>100</v>
      </c>
      <c r="D3" s="225">
        <v>120</v>
      </c>
      <c r="E3" s="225">
        <v>150</v>
      </c>
      <c r="F3" s="223" t="s">
        <v>277</v>
      </c>
    </row>
    <row r="4" spans="1:6" ht="29.4" thickBot="1" x14ac:dyDescent="0.35">
      <c r="A4" s="223" t="s">
        <v>278</v>
      </c>
      <c r="B4" s="223" t="s">
        <v>279</v>
      </c>
      <c r="C4" s="225">
        <v>50</v>
      </c>
      <c r="D4" s="225">
        <v>60</v>
      </c>
      <c r="E4" s="225">
        <v>70</v>
      </c>
      <c r="F4" s="223" t="s">
        <v>280</v>
      </c>
    </row>
    <row r="5" spans="1:6" ht="43.8" thickBot="1" x14ac:dyDescent="0.35">
      <c r="A5" s="224" t="s">
        <v>281</v>
      </c>
      <c r="B5" s="223"/>
      <c r="C5" s="225">
        <v>300</v>
      </c>
      <c r="D5" s="225">
        <v>380</v>
      </c>
      <c r="E5" s="225">
        <v>470</v>
      </c>
      <c r="F5" s="223"/>
    </row>
    <row r="7" spans="1:6" ht="28.8" x14ac:dyDescent="0.3">
      <c r="A7" s="226" t="s">
        <v>282</v>
      </c>
      <c r="B7" s="226" t="s">
        <v>283</v>
      </c>
    </row>
    <row r="8" spans="1:6" x14ac:dyDescent="0.3">
      <c r="A8" s="226" t="s">
        <v>284</v>
      </c>
      <c r="B8" s="227">
        <f>NPV(8.5%,C8:E8)</f>
        <v>967.25751109796693</v>
      </c>
      <c r="C8">
        <f>300</f>
        <v>300</v>
      </c>
      <c r="D8">
        <f>380</f>
        <v>380</v>
      </c>
      <c r="E8">
        <f>470</f>
        <v>470</v>
      </c>
    </row>
    <row r="10" spans="1:6" x14ac:dyDescent="0.3">
      <c r="A10" s="228" t="s">
        <v>285</v>
      </c>
      <c r="B10" s="229">
        <f>B8*10000000</f>
        <v>9672575110.9796696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Profit &amp; Loss</vt:lpstr>
      <vt:lpstr>Quarters</vt:lpstr>
      <vt:lpstr>Balance Sheet</vt:lpstr>
      <vt:lpstr>Cash Flow</vt:lpstr>
      <vt:lpstr>Data Sheet</vt:lpstr>
      <vt:lpstr>Valuation</vt:lpstr>
      <vt:lpstr>Forecast working capital</vt:lpstr>
      <vt:lpstr>Post merger</vt:lpstr>
      <vt:lpstr>Synergy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Shivam Raj</cp:lastModifiedBy>
  <cp:lastPrinted>2012-12-06T18:14:13Z</cp:lastPrinted>
  <dcterms:created xsi:type="dcterms:W3CDTF">2012-08-17T09:55:37Z</dcterms:created>
  <dcterms:modified xsi:type="dcterms:W3CDTF">2026-01-22T16:37:51Z</dcterms:modified>
</cp:coreProperties>
</file>