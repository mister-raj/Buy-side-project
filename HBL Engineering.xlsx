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t &amp; Loss" sheetId="1" r:id="rId4"/>
    <sheet state="visible" name="Quarters" sheetId="2" r:id="rId5"/>
    <sheet state="visible" name="Balance Sheet" sheetId="3" r:id="rId6"/>
    <sheet state="visible" name="Cash Flow" sheetId="4" r:id="rId7"/>
    <sheet state="visible" name="Data Sheet" sheetId="5" r:id="rId8"/>
    <sheet state="visible" name="Valuation" sheetId="6" r:id="rId9"/>
    <sheet state="visible" name="forecasted WC" sheetId="7" r:id="rId10"/>
  </sheets>
  <definedNames>
    <definedName name="UPDATE">'Data Sheet'!$E$1</definedName>
  </definedNames>
  <calcPr/>
  <extLst>
    <ext uri="GoogleSheetsCustomDataVersion2">
      <go:sheetsCustomData xmlns:go="http://customooxmlschemas.google.com/" r:id="rId11" roundtripDataChecksum="TmTCBKYf2mDK2KVMMScZLb2sXtLwi81F07mJTV7u0f8="/>
    </ext>
  </extLst>
</workbook>
</file>

<file path=xl/sharedStrings.xml><?xml version="1.0" encoding="utf-8"?>
<sst xmlns="http://schemas.openxmlformats.org/spreadsheetml/2006/main" count="200" uniqueCount="143">
  <si>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</si>
  <si>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</si>
  <si>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</si>
  <si>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</si>
  <si>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</si>
  <si>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</si>
  <si>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</si>
  <si>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</si>
  <si>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</si>
  <si>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</si>
  <si>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</si>
  <si>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</si>
  <si>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</si>
  <si>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</si>
  <si>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</si>
  <si>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</si>
  <si>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</si>
  <si>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</si>
  <si>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</si>
  <si>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</si>
  <si>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</si>
  <si>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</si>
  <si>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</si>
  <si>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</si>
  <si>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</si>
  <si>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</si>
  <si>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</si>
  <si>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</si>
  <si>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</si>
  <si>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</si>
  <si>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</si>
  <si>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</si>
  <si>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</si>
  <si>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</si>
  <si>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</si>
  <si>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</si>
  <si>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</si>
  <si>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</si>
  <si>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Working Capital</t>
  </si>
  <si>
    <t>Debtors</t>
  </si>
  <si>
    <t>Inventory</t>
  </si>
  <si>
    <t>Debtor Days</t>
  </si>
  <si>
    <t>Inventory Turnover</t>
  </si>
  <si>
    <t>Return on Equity</t>
  </si>
  <si>
    <t>Return on Capital Emp</t>
  </si>
  <si>
    <t>Cash from Operating Activity</t>
  </si>
  <si>
    <t>Cash from Investing Activity</t>
  </si>
  <si>
    <t>Cash from Financing Activity</t>
  </si>
  <si>
    <t>Net Cash Flow</t>
  </si>
  <si>
    <t>COMPANY NAME</t>
  </si>
  <si>
    <t>HBL ENGINEERING LTD</t>
  </si>
  <si>
    <t>LATEST VERSION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</si>
  <si>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</si>
  <si>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</si>
  <si>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</si>
  <si>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</si>
  <si>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</si>
  <si>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</si>
  <si>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</si>
  <si>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</si>
  <si>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</si>
  <si>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</si>
  <si>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</si>
  <si>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</si>
  <si>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</si>
  <si>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</si>
  <si>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</si>
  <si>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</si>
  <si>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Quarters</t>
  </si>
  <si>
    <t>BALANCE SHEET</t>
  </si>
  <si>
    <t>Receivables</t>
  </si>
  <si>
    <t>Cash &amp; Bank</t>
  </si>
  <si>
    <t>No. of Equity Shares</t>
  </si>
  <si>
    <t>New Bonus Shares</t>
  </si>
  <si>
    <t>Face value</t>
  </si>
  <si>
    <t>CASH FLOW:</t>
  </si>
  <si>
    <t>PRICE:</t>
  </si>
  <si>
    <t>DERIVED:</t>
  </si>
  <si>
    <t>Adjusted Equity Shares in Cr</t>
  </si>
  <si>
    <t>(INR  in crores, Financial Year March 31)</t>
  </si>
  <si>
    <t xml:space="preserve">Operating Scenario </t>
  </si>
  <si>
    <t>Historical Period</t>
  </si>
  <si>
    <t>Forecasted Period</t>
  </si>
  <si>
    <t xml:space="preserve">   % growth</t>
  </si>
  <si>
    <t>Cost of Goods Sold</t>
  </si>
  <si>
    <t>Gross Profit</t>
  </si>
  <si>
    <t xml:space="preserve">   % margin</t>
  </si>
  <si>
    <t>Selling, General &amp; Administrative</t>
  </si>
  <si>
    <t>EBITDA</t>
  </si>
  <si>
    <t>Depreciation &amp; Amortization</t>
  </si>
  <si>
    <t>EBIT</t>
  </si>
  <si>
    <t>Taxes</t>
  </si>
  <si>
    <t>EBIT(1-T)</t>
  </si>
  <si>
    <t>Plus: Depreciation &amp; Amortization</t>
  </si>
  <si>
    <t>Less: Capital Expenditures</t>
  </si>
  <si>
    <t>Less: Inc./(Dec.) in Net Working Capital</t>
  </si>
  <si>
    <t>Unlevered Free Cash Flow</t>
  </si>
  <si>
    <t xml:space="preserve">   WACC</t>
  </si>
  <si>
    <t xml:space="preserve">   Discount Period</t>
  </si>
  <si>
    <t xml:space="preserve">   Discount Factor</t>
  </si>
  <si>
    <t xml:space="preserve">   Present Value of Free Cash Flow</t>
  </si>
  <si>
    <t xml:space="preserve">WACC Calculation </t>
  </si>
  <si>
    <t>Risk Free rate of Return -Rf</t>
  </si>
  <si>
    <t xml:space="preserve">Beta </t>
  </si>
  <si>
    <t>Risk Premium - Rm-Rf</t>
  </si>
  <si>
    <t>Cost of debt post tax-Kd</t>
  </si>
  <si>
    <t>Weight of Debt -Wd</t>
  </si>
  <si>
    <t>Weight of Equity-We</t>
  </si>
  <si>
    <t>Cost of Equity-CAPM</t>
  </si>
  <si>
    <t>Cost of Capital-WACC</t>
  </si>
  <si>
    <t>Enterprise Value</t>
  </si>
  <si>
    <t xml:space="preserve"> Equity Value and Share Price</t>
  </si>
  <si>
    <t>Perpetuity Growth Rate</t>
  </si>
  <si>
    <t>Total Value Of NPV of Cash flows</t>
  </si>
  <si>
    <t>Less: Total Debt</t>
  </si>
  <si>
    <t>WACC</t>
  </si>
  <si>
    <t>Terminal Value ( Exit Multiple)</t>
  </si>
  <si>
    <t>Less: Noncontrolling Interest</t>
  </si>
  <si>
    <t xml:space="preserve">Terminal Value </t>
  </si>
  <si>
    <t>Plus: Cash and Cash Equivalents</t>
  </si>
  <si>
    <t>Exit Multiple</t>
  </si>
  <si>
    <t>Implied Perpetuity Growth Rate</t>
  </si>
  <si>
    <t xml:space="preserve">   Terminal Value</t>
  </si>
  <si>
    <t xml:space="preserve"> </t>
  </si>
  <si>
    <t>Discount Factor</t>
  </si>
  <si>
    <t xml:space="preserve">   Implied Equity Value</t>
  </si>
  <si>
    <t>Implied EV/EBITDA</t>
  </si>
  <si>
    <t xml:space="preserve">   Present Value of Terminal Value</t>
  </si>
  <si>
    <t>Fully Diluted Shares Outstanding</t>
  </si>
  <si>
    <t>2024 EBITDA</t>
  </si>
  <si>
    <t xml:space="preserve">   Enterprise Value with Exit multiple</t>
  </si>
  <si>
    <t xml:space="preserve">   Implied Share Price</t>
  </si>
  <si>
    <t>Terminal Value ( Perpetuity Formula)</t>
  </si>
  <si>
    <t>Share price as on 21-04-2025</t>
  </si>
  <si>
    <t>Perpetuity Growth rate</t>
  </si>
  <si>
    <t>Acquisition Premium</t>
  </si>
  <si>
    <t xml:space="preserve">   Enterprise Value with Perpetuity approach</t>
  </si>
  <si>
    <t>Note:All prices are in crores</t>
  </si>
  <si>
    <t>Timeline</t>
  </si>
  <si>
    <t>Values</t>
  </si>
  <si>
    <t>Forecast</t>
  </si>
  <si>
    <t>Lower Confidence Bound</t>
  </si>
  <si>
    <t>Upper Confidence Bound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</si>
</sst>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 * #,##0.00_ ;_ * \-#,##0.00_ ;_ * &quot;-&quot;??_ ;_ @_ "/>
    <numFmt numFmtId="165" formatCode="[$-409]mmm\-yy"/>
    <numFmt numFmtId="166" formatCode="_(* #,##0.00_);_(* \(#,##0.00\);_(* &quot;-&quot;??_);_(@_)"/>
    <numFmt numFmtId="167" formatCode="0.0"/>
    <numFmt numFmtId="168" formatCode="_(* #,##0_);_(* \(#,##0\);_(* &quot;-&quot;??_);_(@_)"/>
    <numFmt numFmtId="169" formatCode="0.0%"/>
    <numFmt numFmtId="170" formatCode="0.000"/>
  </numFmts>
  <fonts count="1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FF0000"/>
      <name val="Calibri"/>
    </font>
    <font>
      <b/>
      <sz val="11.0"/>
      <color theme="0"/>
      <name val="Calibri"/>
    </font>
    <font>
      <sz val="11.0"/>
      <color theme="1"/>
      <name val="Calibri"/>
    </font>
    <font>
      <u/>
      <sz val="11.0"/>
      <color theme="10"/>
      <name val="Calibri"/>
    </font>
    <font>
      <b/>
      <i/>
      <sz val="10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9.0"/>
      <color theme="1"/>
      <name val="Helvetica Neue"/>
    </font>
    <font/>
    <font>
      <i/>
      <sz val="10.0"/>
      <color theme="1"/>
      <name val="Arial"/>
    </font>
    <font>
      <b/>
      <sz val="10.0"/>
      <color rgb="FFF2F2F2"/>
      <name val="Arial"/>
    </font>
    <font>
      <b/>
      <sz val="12.0"/>
      <color rgb="FFF2F2F2"/>
      <name val="Arial"/>
    </font>
    <font>
      <b/>
      <i/>
      <sz val="12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0275D8"/>
        <bgColor rgb="FF0275D8"/>
      </patternFill>
    </fill>
    <fill>
      <patternFill patternType="solid">
        <fgColor rgb="FF79CBDF"/>
        <bgColor rgb="FF79CBDF"/>
      </patternFill>
    </fill>
    <fill>
      <patternFill patternType="solid">
        <fgColor rgb="FFF2A176"/>
        <bgColor rgb="FFF2A176"/>
      </patternFill>
    </fill>
    <fill>
      <patternFill patternType="solid">
        <fgColor rgb="FF7C9FCF"/>
        <bgColor rgb="FF7C9FCF"/>
      </patternFill>
    </fill>
    <fill>
      <patternFill patternType="solid">
        <fgColor rgb="FFF2F2F2"/>
        <bgColor rgb="FFF2F2F2"/>
      </patternFill>
    </fill>
    <fill>
      <patternFill patternType="solid">
        <fgColor rgb="FFFFCC00"/>
        <bgColor rgb="FFFFCC00"/>
      </patternFill>
    </fill>
    <fill>
      <patternFill patternType="solid">
        <fgColor theme="7"/>
        <bgColor theme="7"/>
      </patternFill>
    </fill>
    <fill>
      <patternFill patternType="solid">
        <fgColor rgb="FFFFFF99"/>
        <bgColor rgb="FFFFFF99"/>
      </patternFill>
    </fill>
    <fill>
      <patternFill patternType="solid">
        <fgColor rgb="FFA8BFDF"/>
        <bgColor rgb="FFA8BFDF"/>
      </patternFill>
    </fill>
    <fill>
      <patternFill patternType="solid">
        <fgColor rgb="FFFFC000"/>
        <bgColor rgb="FFFFC000"/>
      </patternFill>
    </fill>
    <fill>
      <patternFill patternType="solid">
        <fgColor rgb="FFA3171E"/>
        <bgColor rgb="FFA3171E"/>
      </patternFill>
    </fill>
    <fill>
      <patternFill patternType="solid">
        <fgColor rgb="FFEB757B"/>
        <bgColor rgb="FFEB757B"/>
      </patternFill>
    </fill>
    <fill>
      <patternFill patternType="solid">
        <fgColor rgb="FFFFFF00"/>
        <bgColor rgb="FFFFFF00"/>
      </patternFill>
    </fill>
  </fills>
  <borders count="14">
    <border/>
    <border>
      <left/>
      <right/>
      <top/>
      <bottom/>
    </border>
    <border>
      <left/>
      <right/>
      <top/>
      <bottom style="medium">
        <color rgb="FF00008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1" fillId="2" fontId="4" numFmtId="0" xfId="0" applyBorder="1" applyFill="1" applyFont="1"/>
    <xf borderId="1" fillId="2" fontId="4" numFmtId="165" xfId="0" applyAlignment="1" applyBorder="1" applyFont="1" applyNumberFormat="1">
      <alignment horizontal="center"/>
    </xf>
    <xf borderId="1" fillId="2" fontId="4" numFmtId="0" xfId="0" applyAlignment="1" applyBorder="1" applyFont="1">
      <alignment horizontal="center"/>
    </xf>
    <xf borderId="0" fillId="0" fontId="2" numFmtId="0" xfId="0" applyFont="1"/>
    <xf borderId="0" fillId="0" fontId="5" numFmtId="164" xfId="0" applyFont="1" applyNumberFormat="1"/>
    <xf borderId="0" fillId="0" fontId="5" numFmtId="9" xfId="0" applyFont="1" applyNumberFormat="1"/>
    <xf borderId="1" fillId="3" fontId="4" numFmtId="164" xfId="0" applyBorder="1" applyFill="1" applyFont="1" applyNumberFormat="1"/>
    <xf borderId="1" fillId="4" fontId="4" numFmtId="164" xfId="0" applyBorder="1" applyFill="1" applyFont="1" applyNumberFormat="1"/>
    <xf borderId="0" fillId="0" fontId="5" numFmtId="10" xfId="0" applyFont="1" applyNumberFormat="1"/>
    <xf borderId="0" fillId="0" fontId="1" numFmtId="10" xfId="0" applyFont="1" applyNumberFormat="1"/>
    <xf borderId="0" fillId="0" fontId="1" numFmtId="9" xfId="0" applyFont="1" applyNumberFormat="1"/>
    <xf borderId="0" fillId="0" fontId="5" numFmtId="0" xfId="0" applyFont="1"/>
    <xf borderId="0" fillId="0" fontId="5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6" numFmtId="164" xfId="0" applyAlignment="1" applyFont="1" applyNumberFormat="1">
      <alignment horizontal="center"/>
    </xf>
    <xf borderId="1" fillId="2" fontId="4" numFmtId="165" xfId="0" applyBorder="1" applyFont="1" applyNumberFormat="1"/>
    <xf borderId="0" fillId="0" fontId="5" numFmtId="165" xfId="0" applyFont="1" applyNumberFormat="1"/>
    <xf borderId="0" fillId="0" fontId="5" numFmtId="166" xfId="0" applyFont="1" applyNumberFormat="1"/>
    <xf borderId="2" fillId="5" fontId="7" numFmtId="167" xfId="0" applyBorder="1" applyFill="1" applyFont="1" applyNumberFormat="1"/>
    <xf borderId="2" fillId="5" fontId="8" numFmtId="167" xfId="0" applyBorder="1" applyFont="1" applyNumberFormat="1"/>
    <xf borderId="2" fillId="5" fontId="9" numFmtId="167" xfId="0" applyBorder="1" applyFont="1" applyNumberFormat="1"/>
    <xf borderId="2" fillId="5" fontId="10" numFmtId="167" xfId="0" applyBorder="1" applyFont="1" applyNumberFormat="1"/>
    <xf borderId="1" fillId="6" fontId="10" numFmtId="167" xfId="0" applyAlignment="1" applyBorder="1" applyFill="1" applyFont="1" applyNumberFormat="1">
      <alignment horizontal="right"/>
    </xf>
    <xf borderId="0" fillId="0" fontId="10" numFmtId="167" xfId="0" applyFont="1" applyNumberFormat="1"/>
    <xf borderId="0" fillId="0" fontId="11" numFmtId="167" xfId="0" applyFont="1" applyNumberFormat="1"/>
    <xf borderId="0" fillId="0" fontId="12" numFmtId="167" xfId="0" applyFont="1" applyNumberFormat="1"/>
    <xf borderId="1" fillId="6" fontId="12" numFmtId="167" xfId="0" applyBorder="1" applyFont="1" applyNumberFormat="1"/>
    <xf borderId="3" fillId="7" fontId="10" numFmtId="167" xfId="0" applyAlignment="1" applyBorder="1" applyFill="1" applyFont="1" applyNumberFormat="1">
      <alignment horizontal="center"/>
    </xf>
    <xf borderId="4" fillId="0" fontId="13" numFmtId="0" xfId="0" applyBorder="1" applyFont="1"/>
    <xf borderId="5" fillId="0" fontId="13" numFmtId="0" xfId="0" applyBorder="1" applyFont="1"/>
    <xf borderId="0" fillId="0" fontId="10" numFmtId="167" xfId="0" applyAlignment="1" applyFont="1" applyNumberFormat="1">
      <alignment horizontal="center"/>
    </xf>
    <xf borderId="6" fillId="8" fontId="10" numFmtId="167" xfId="0" applyAlignment="1" applyBorder="1" applyFill="1" applyFont="1" applyNumberFormat="1">
      <alignment horizontal="center"/>
    </xf>
    <xf borderId="7" fillId="0" fontId="13" numFmtId="0" xfId="0" applyBorder="1" applyFont="1"/>
    <xf borderId="1" fillId="6" fontId="10" numFmtId="167" xfId="0" applyAlignment="1" applyBorder="1" applyFont="1" applyNumberFormat="1">
      <alignment horizontal="center"/>
    </xf>
    <xf borderId="8" fillId="0" fontId="10" numFmtId="1" xfId="0" applyAlignment="1" applyBorder="1" applyFont="1" applyNumberFormat="1">
      <alignment horizontal="center"/>
    </xf>
    <xf borderId="6" fillId="9" fontId="10" numFmtId="167" xfId="0" applyAlignment="1" applyBorder="1" applyFill="1" applyFont="1" applyNumberFormat="1">
      <alignment horizontal="center"/>
    </xf>
    <xf borderId="9" fillId="0" fontId="10" numFmtId="1" xfId="0" applyAlignment="1" applyBorder="1" applyFont="1" applyNumberFormat="1">
      <alignment horizontal="center"/>
    </xf>
    <xf borderId="1" fillId="10" fontId="10" numFmtId="168" xfId="0" applyAlignment="1" applyBorder="1" applyFill="1" applyFont="1" applyNumberFormat="1">
      <alignment horizontal="center"/>
    </xf>
    <xf borderId="1" fillId="6" fontId="14" numFmtId="167" xfId="0" applyAlignment="1" applyBorder="1" applyFont="1" applyNumberFormat="1">
      <alignment horizontal="center"/>
    </xf>
    <xf borderId="0" fillId="0" fontId="14" numFmtId="167" xfId="0" applyAlignment="1" applyFont="1" applyNumberFormat="1">
      <alignment horizontal="left"/>
    </xf>
    <xf borderId="0" fillId="0" fontId="14" numFmtId="167" xfId="0" applyAlignment="1" applyFont="1" applyNumberFormat="1">
      <alignment horizontal="right"/>
    </xf>
    <xf borderId="0" fillId="0" fontId="10" numFmtId="9" xfId="0" applyAlignment="1" applyFont="1" applyNumberFormat="1">
      <alignment horizontal="center"/>
    </xf>
    <xf borderId="0" fillId="0" fontId="14" numFmtId="169" xfId="0" applyAlignment="1" applyFont="1" applyNumberFormat="1">
      <alignment horizontal="right"/>
    </xf>
    <xf borderId="1" fillId="6" fontId="14" numFmtId="167" xfId="0" applyAlignment="1" applyBorder="1" applyFont="1" applyNumberFormat="1">
      <alignment horizontal="right"/>
    </xf>
    <xf borderId="0" fillId="0" fontId="12" numFmtId="169" xfId="0" applyFont="1" applyNumberFormat="1"/>
    <xf borderId="0" fillId="0" fontId="10" numFmtId="167" xfId="0" applyAlignment="1" applyFont="1" applyNumberFormat="1">
      <alignment horizontal="left"/>
    </xf>
    <xf borderId="0" fillId="0" fontId="10" numFmtId="168" xfId="0" applyAlignment="1" applyFont="1" applyNumberFormat="1">
      <alignment horizontal="center"/>
    </xf>
    <xf borderId="0" fillId="0" fontId="14" numFmtId="169" xfId="0" applyAlignment="1" applyFont="1" applyNumberFormat="1">
      <alignment horizontal="center"/>
    </xf>
    <xf borderId="0" fillId="0" fontId="11" numFmtId="167" xfId="0" applyAlignment="1" applyFont="1" applyNumberFormat="1">
      <alignment horizontal="left"/>
    </xf>
    <xf borderId="0" fillId="0" fontId="11" numFmtId="9" xfId="0" applyFont="1" applyNumberFormat="1"/>
    <xf borderId="0" fillId="0" fontId="11" numFmtId="169" xfId="0" applyFont="1" applyNumberFormat="1"/>
    <xf borderId="1" fillId="9" fontId="11" numFmtId="10" xfId="0" applyAlignment="1" applyBorder="1" applyFont="1" applyNumberFormat="1">
      <alignment horizontal="right"/>
    </xf>
    <xf borderId="0" fillId="0" fontId="14" numFmtId="167" xfId="0" applyAlignment="1" applyFont="1" applyNumberFormat="1">
      <alignment horizontal="center"/>
    </xf>
    <xf borderId="0" fillId="0" fontId="11" numFmtId="167" xfId="0" applyAlignment="1" applyFont="1" applyNumberFormat="1">
      <alignment horizontal="right"/>
    </xf>
    <xf borderId="0" fillId="0" fontId="11" numFmtId="170" xfId="0" applyAlignment="1" applyFont="1" applyNumberFormat="1">
      <alignment horizontal="center"/>
    </xf>
    <xf borderId="1" fillId="6" fontId="11" numFmtId="167" xfId="0" applyBorder="1" applyFont="1" applyNumberFormat="1"/>
    <xf borderId="1" fillId="7" fontId="10" numFmtId="167" xfId="0" applyBorder="1" applyFont="1" applyNumberFormat="1"/>
    <xf borderId="1" fillId="7" fontId="11" numFmtId="167" xfId="0" applyBorder="1" applyFont="1" applyNumberFormat="1"/>
    <xf borderId="1" fillId="7" fontId="7" numFmtId="167" xfId="0" applyBorder="1" applyFont="1" applyNumberFormat="1"/>
    <xf borderId="1" fillId="11" fontId="10" numFmtId="168" xfId="0" applyAlignment="1" applyBorder="1" applyFill="1" applyFont="1" applyNumberFormat="1">
      <alignment horizontal="center"/>
    </xf>
    <xf borderId="1" fillId="6" fontId="10" numFmtId="167" xfId="0" applyBorder="1" applyFont="1" applyNumberFormat="1"/>
    <xf borderId="0" fillId="0" fontId="7" numFmtId="167" xfId="0" applyFont="1" applyNumberFormat="1"/>
    <xf borderId="0" fillId="0" fontId="11" numFmtId="167" xfId="0" applyAlignment="1" applyFont="1" applyNumberFormat="1">
      <alignment horizontal="center"/>
    </xf>
    <xf borderId="1" fillId="12" fontId="10" numFmtId="167" xfId="0" applyBorder="1" applyFill="1" applyFont="1" applyNumberFormat="1"/>
    <xf borderId="1" fillId="12" fontId="15" numFmtId="167" xfId="0" applyBorder="1" applyFont="1" applyNumberFormat="1"/>
    <xf borderId="1" fillId="12" fontId="16" numFmtId="167" xfId="0" applyBorder="1" applyFont="1" applyNumberFormat="1"/>
    <xf borderId="1" fillId="12" fontId="17" numFmtId="167" xfId="0" applyBorder="1" applyFont="1" applyNumberFormat="1"/>
    <xf borderId="1" fillId="12" fontId="11" numFmtId="167" xfId="0" applyBorder="1" applyFont="1" applyNumberFormat="1"/>
    <xf borderId="0" fillId="0" fontId="11" numFmtId="2" xfId="0" applyFont="1" applyNumberFormat="1"/>
    <xf borderId="0" fillId="0" fontId="14" numFmtId="167" xfId="0" applyFont="1" applyNumberFormat="1"/>
    <xf borderId="1" fillId="10" fontId="10" numFmtId="10" xfId="0" applyAlignment="1" applyBorder="1" applyFont="1" applyNumberFormat="1">
      <alignment horizontal="center"/>
    </xf>
    <xf borderId="10" fillId="12" fontId="10" numFmtId="167" xfId="0" applyAlignment="1" applyBorder="1" applyFont="1" applyNumberFormat="1">
      <alignment horizontal="center"/>
    </xf>
    <xf borderId="11" fillId="0" fontId="13" numFmtId="0" xfId="0" applyBorder="1" applyFont="1"/>
    <xf borderId="12" fillId="0" fontId="13" numFmtId="0" xfId="0" applyBorder="1" applyFont="1"/>
    <xf borderId="0" fillId="0" fontId="10" numFmtId="10" xfId="0" applyAlignment="1" applyFont="1" applyNumberFormat="1">
      <alignment horizontal="center"/>
    </xf>
    <xf borderId="6" fillId="13" fontId="10" numFmtId="167" xfId="0" applyBorder="1" applyFill="1" applyFont="1" applyNumberFormat="1"/>
    <xf borderId="6" fillId="9" fontId="11" numFmtId="167" xfId="0" applyBorder="1" applyFont="1" applyNumberFormat="1"/>
    <xf borderId="8" fillId="0" fontId="11" numFmtId="170" xfId="0" applyBorder="1" applyFont="1" applyNumberFormat="1"/>
    <xf borderId="13" fillId="7" fontId="10" numFmtId="2" xfId="0" applyAlignment="1" applyBorder="1" applyFont="1" applyNumberFormat="1">
      <alignment horizontal="right"/>
    </xf>
    <xf borderId="10" fillId="8" fontId="10" numFmtId="167" xfId="0" applyAlignment="1" applyBorder="1" applyFont="1" applyNumberFormat="1">
      <alignment horizontal="center"/>
    </xf>
    <xf borderId="13" fillId="14" fontId="10" numFmtId="2" xfId="0" applyAlignment="1" applyBorder="1" applyFill="1" applyFont="1" applyNumberFormat="1">
      <alignment horizontal="right"/>
    </xf>
    <xf borderId="13" fillId="7" fontId="10" numFmtId="167" xfId="0" applyAlignment="1" applyBorder="1" applyFont="1" applyNumberFormat="1">
      <alignment horizontal="right"/>
    </xf>
    <xf borderId="1" fillId="14" fontId="11" numFmtId="167" xfId="0" applyBorder="1" applyFont="1" applyNumberFormat="1"/>
    <xf borderId="1" fillId="14" fontId="5" numFmtId="0" xfId="0" applyBorder="1" applyFont="1"/>
    <xf borderId="0" fillId="0" fontId="2" numFmtId="0" xfId="0" applyFont="1"/>
    <xf borderId="0" fillId="0" fontId="5" numFmtId="165" xfId="0" applyFont="1" applyNumberFormat="1"/>
    <xf borderId="0" fillId="0" fontId="5" numFmtId="164" xfId="0" applyFont="1" applyNumberFormat="1"/>
  </cellXfs>
  <cellStyles count="1">
    <cellStyle xfId="0" name="Normal" builtinId="0"/>
  </cellStyles>
  <dxfs count="5">
    <dxf>
      <font>
        <b/>
        <color theme="0"/>
      </font>
      <fill>
        <patternFill patternType="solid">
          <fgColor theme="5"/>
          <bgColor theme="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2EDF4"/>
          <bgColor rgb="FFD2EDF4"/>
        </patternFill>
      </fill>
      <border/>
    </dxf>
    <dxf>
      <font/>
      <fill>
        <patternFill patternType="solid">
          <fgColor rgb="FFA6DCEA"/>
          <bgColor rgb="FFA6DCEA"/>
        </patternFill>
      </fill>
      <border/>
    </dxf>
  </dxfs>
  <tableStyles count="1">
    <tableStyle count="3" pivot="0" name="forecasted WC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69099949462839"/>
          <c:y val="0.0605801547533831"/>
          <c:w val="0.9043573466360183"/>
          <c:h val="0.802343252547977"/>
        </c:manualLayout>
      </c:layout>
      <c:lineChart>
        <c:ser>
          <c:idx val="0"/>
          <c:order val="0"/>
          <c:tx>
            <c:v>Values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'forecasted WC'!$A$2:$A$16</c:f>
            </c:strRef>
          </c:cat>
          <c:val>
            <c:numRef>
              <c:f>'forecasted WC'!$B$2:$B$16</c:f>
              <c:numCache/>
            </c:numRef>
          </c:val>
          <c:smooth val="0"/>
        </c:ser>
        <c:ser>
          <c:idx val="1"/>
          <c:order val="1"/>
          <c:tx>
            <c:v>Forecast</c:v>
          </c:tx>
          <c:spPr>
            <a:ln cmpd="sng" w="1905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'forecasted WC'!$A$2:$A$16</c:f>
            </c:strRef>
          </c:cat>
          <c:val>
            <c:numRef>
              <c:f>'forecasted WC'!$C$2:$C$16</c:f>
              <c:numCache/>
            </c:numRef>
          </c:val>
          <c:smooth val="0"/>
        </c:ser>
        <c:ser>
          <c:idx val="2"/>
          <c:order val="2"/>
          <c:tx>
            <c:v>Lower Confidence Bound</c:v>
          </c:tx>
          <c:spPr>
            <a:ln cmpd="sng" w="9525">
              <a:solidFill>
                <a:srgbClr val="DA1F28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'forecasted WC'!$A$2:$A$16</c:f>
            </c:strRef>
          </c:cat>
          <c:val>
            <c:numRef>
              <c:f>'forecasted WC'!$D$2:$D$16</c:f>
              <c:numCache/>
            </c:numRef>
          </c:val>
          <c:smooth val="0"/>
        </c:ser>
        <c:ser>
          <c:idx val="3"/>
          <c:order val="3"/>
          <c:tx>
            <c:v>Upper Confidence Bound</c:v>
          </c:tx>
          <c:spPr>
            <a:ln cmpd="sng" w="9525">
              <a:solidFill>
                <a:srgbClr val="DA1F28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'forecasted WC'!$A$2:$A$16</c:f>
            </c:strRef>
          </c:cat>
          <c:val>
            <c:numRef>
              <c:f>'forecasted WC'!$E$2:$E$16</c:f>
              <c:numCache/>
            </c:numRef>
          </c:val>
          <c:smooth val="0"/>
        </c:ser>
        <c:axId val="1897229526"/>
        <c:axId val="247871183"/>
      </c:lineChart>
      <c:catAx>
        <c:axId val="1897229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7871183"/>
      </c:catAx>
      <c:valAx>
        <c:axId val="247871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722952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133350</xdr:colOff>
      <xdr:row>2</xdr:row>
      <xdr:rowOff>85725</xdr:rowOff>
    </xdr:from>
    <xdr:ext cx="4667250" cy="3429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266700</xdr:colOff>
      <xdr:row>1</xdr:row>
      <xdr:rowOff>171450</xdr:rowOff>
    </xdr:from>
    <xdr:ext cx="7296150" cy="3629025"/>
    <xdr:graphicFrame>
      <xdr:nvGraphicFramePr>
        <xdr:cNvPr id="106091187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E16" displayName="Table_1" name="Table_1" id="1">
  <tableColumns count="5">
    <tableColumn name="Timeline" id="1"/>
    <tableColumn name="Values" id="2"/>
    <tableColumn name="Forecast" id="3"/>
    <tableColumn name="Lower Confidence Bound" id="4"/>
    <tableColumn name="Upper Confidence Bound" id="5"/>
  </tableColumns>
  <tableStyleInfo name="forecasted W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FF8119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0.71"/>
    <col customWidth="1" min="2" max="6" width="13.43"/>
    <col customWidth="1" min="7" max="7" width="14.71"/>
    <col customWidth="1" min="8" max="11" width="13.43"/>
    <col customWidth="1" min="12" max="12" width="13.29"/>
    <col customWidth="1" min="13" max="14" width="12.14"/>
    <col customWidth="1" min="15" max="26" width="8.71"/>
  </cols>
  <sheetData>
    <row r="1" ht="14.25" customHeight="1">
      <c r="A1" s="1" t="str">
        <f>'Data Sheet'!B1</f>
        <v>HBL ENGINEERING LTD</v>
      </c>
      <c r="B1" s="2"/>
      <c r="C1" s="2"/>
      <c r="D1" s="2"/>
      <c r="E1" s="2"/>
      <c r="F1" s="2"/>
      <c r="G1" s="2"/>
      <c r="H1" s="3" t="str">
        <f>UPDATE</f>
        <v/>
      </c>
      <c r="I1" s="2"/>
      <c r="J1" s="4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/>
    <row r="3" ht="14.25" customHeight="1">
      <c r="A3" s="5" t="s">
        <v>0</v>
      </c>
      <c r="B3" s="6">
        <f>'Data Sheet'!B16</f>
        <v>42094</v>
      </c>
      <c r="C3" s="6">
        <f>'Data Sheet'!C16</f>
        <v>42460</v>
      </c>
      <c r="D3" s="6">
        <f>'Data Sheet'!D16</f>
        <v>42825</v>
      </c>
      <c r="E3" s="6">
        <f>'Data Sheet'!E16</f>
        <v>43190</v>
      </c>
      <c r="F3" s="6">
        <f>'Data Sheet'!F16</f>
        <v>43555</v>
      </c>
      <c r="G3" s="6">
        <f>'Data Sheet'!G16</f>
        <v>43921</v>
      </c>
      <c r="H3" s="6">
        <f>'Data Sheet'!H16</f>
        <v>44286</v>
      </c>
      <c r="I3" s="6">
        <f>'Data Sheet'!I16</f>
        <v>44651</v>
      </c>
      <c r="J3" s="6">
        <f>'Data Sheet'!J16</f>
        <v>45016</v>
      </c>
      <c r="K3" s="6">
        <f>'Data Sheet'!K16</f>
        <v>45382</v>
      </c>
      <c r="L3" s="7" t="s">
        <v>1</v>
      </c>
      <c r="M3" s="7" t="s">
        <v>2</v>
      </c>
      <c r="N3" s="7" t="s">
        <v>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 t="s">
        <v>4</v>
      </c>
      <c r="B4" s="1">
        <f>'Data Sheet'!B17</f>
        <v>1349.28</v>
      </c>
      <c r="C4" s="1">
        <f>'Data Sheet'!C17</f>
        <v>1298.57</v>
      </c>
      <c r="D4" s="1">
        <f>'Data Sheet'!D17</f>
        <v>1414.47</v>
      </c>
      <c r="E4" s="1">
        <f>'Data Sheet'!E17</f>
        <v>1603.01</v>
      </c>
      <c r="F4" s="1">
        <f>'Data Sheet'!F17</f>
        <v>1265.88</v>
      </c>
      <c r="G4" s="1">
        <f>'Data Sheet'!G17</f>
        <v>1091.78</v>
      </c>
      <c r="H4" s="1">
        <f>'Data Sheet'!H17</f>
        <v>912.04</v>
      </c>
      <c r="I4" s="1">
        <f>'Data Sheet'!I17</f>
        <v>1236.21</v>
      </c>
      <c r="J4" s="1">
        <f>'Data Sheet'!J17</f>
        <v>1368.68</v>
      </c>
      <c r="K4" s="1">
        <f>'Data Sheet'!K17</f>
        <v>2233.36</v>
      </c>
      <c r="L4" s="1">
        <f>SUM(Quarters!H4:K4)</f>
        <v>2101.72</v>
      </c>
      <c r="M4" s="1">
        <f t="shared" ref="M4:N4" si="1">$K4+M23*K4</f>
        <v>3644.311957</v>
      </c>
      <c r="N4" s="1">
        <f t="shared" si="1"/>
        <v>2354.398413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8" t="s">
        <v>5</v>
      </c>
      <c r="B5" s="9">
        <f>SUM('Data Sheet'!B18,'Data Sheet'!B20:B24, -1*'Data Sheet'!B19)</f>
        <v>1210.21</v>
      </c>
      <c r="C5" s="9">
        <f>SUM('Data Sheet'!C18,'Data Sheet'!C20:C24, -1*'Data Sheet'!C19)</f>
        <v>1164.07</v>
      </c>
      <c r="D5" s="9">
        <f>SUM('Data Sheet'!D18,'Data Sheet'!D20:D24, -1*'Data Sheet'!D19)</f>
        <v>1285.87</v>
      </c>
      <c r="E5" s="9">
        <f>SUM('Data Sheet'!E18,'Data Sheet'!E20:E24, -1*'Data Sheet'!E19)</f>
        <v>1477.08</v>
      </c>
      <c r="F5" s="9">
        <f>SUM('Data Sheet'!F18,'Data Sheet'!F20:F24, -1*'Data Sheet'!F19)</f>
        <v>1168.7</v>
      </c>
      <c r="G5" s="9">
        <f>SUM('Data Sheet'!G18,'Data Sheet'!G20:G24, -1*'Data Sheet'!G19)</f>
        <v>1011.24</v>
      </c>
      <c r="H5" s="9">
        <f>SUM('Data Sheet'!H18,'Data Sheet'!H20:H24, -1*'Data Sheet'!H19)</f>
        <v>844.67</v>
      </c>
      <c r="I5" s="9">
        <f>SUM('Data Sheet'!I18,'Data Sheet'!I20:I24, -1*'Data Sheet'!I19)</f>
        <v>1097.22</v>
      </c>
      <c r="J5" s="9">
        <f>SUM('Data Sheet'!J18,'Data Sheet'!J20:J24, -1*'Data Sheet'!J19)</f>
        <v>1217.24</v>
      </c>
      <c r="K5" s="9">
        <f>SUM('Data Sheet'!K18,'Data Sheet'!K20:K24, -1*'Data Sheet'!K19)</f>
        <v>1809.9</v>
      </c>
      <c r="L5" s="9">
        <f>SUM(Quarters!H5:K5)</f>
        <v>1657.66</v>
      </c>
      <c r="M5" s="9">
        <f t="shared" ref="M5:N5" si="2">M4-M6</f>
        <v>2874.326818</v>
      </c>
      <c r="N5" s="9">
        <f t="shared" si="2"/>
        <v>2100.197613</v>
      </c>
    </row>
    <row r="6" ht="14.25" customHeight="1">
      <c r="A6" s="2" t="s">
        <v>6</v>
      </c>
      <c r="B6" s="1">
        <f t="shared" ref="B6:K6" si="3">B4-B5</f>
        <v>139.07</v>
      </c>
      <c r="C6" s="1">
        <f t="shared" si="3"/>
        <v>134.5</v>
      </c>
      <c r="D6" s="1">
        <f t="shared" si="3"/>
        <v>128.6</v>
      </c>
      <c r="E6" s="1">
        <f t="shared" si="3"/>
        <v>125.93</v>
      </c>
      <c r="F6" s="1">
        <f t="shared" si="3"/>
        <v>97.18</v>
      </c>
      <c r="G6" s="1">
        <f t="shared" si="3"/>
        <v>80.54</v>
      </c>
      <c r="H6" s="1">
        <f t="shared" si="3"/>
        <v>67.37</v>
      </c>
      <c r="I6" s="1">
        <f t="shared" si="3"/>
        <v>138.99</v>
      </c>
      <c r="J6" s="1">
        <f t="shared" si="3"/>
        <v>151.44</v>
      </c>
      <c r="K6" s="1">
        <f t="shared" si="3"/>
        <v>423.46</v>
      </c>
      <c r="L6" s="1">
        <f>SUM(Quarters!H6:K6)</f>
        <v>444.06</v>
      </c>
      <c r="M6" s="1">
        <f t="shared" ref="M6:N6" si="4">M4*M24</f>
        <v>769.9851397</v>
      </c>
      <c r="N6" s="1">
        <f t="shared" si="4"/>
        <v>254.2007998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8" t="s">
        <v>7</v>
      </c>
      <c r="B7" s="9">
        <f>'Data Sheet'!B25</f>
        <v>8.61</v>
      </c>
      <c r="C7" s="9">
        <f>'Data Sheet'!C25</f>
        <v>11.59</v>
      </c>
      <c r="D7" s="9">
        <f>'Data Sheet'!D25</f>
        <v>20.51</v>
      </c>
      <c r="E7" s="9">
        <f>'Data Sheet'!E25</f>
        <v>15.96</v>
      </c>
      <c r="F7" s="9">
        <f>'Data Sheet'!F25</f>
        <v>20.74</v>
      </c>
      <c r="G7" s="9">
        <f>'Data Sheet'!G25</f>
        <v>22.5</v>
      </c>
      <c r="H7" s="9">
        <f>'Data Sheet'!H25</f>
        <v>5.57</v>
      </c>
      <c r="I7" s="9">
        <f>'Data Sheet'!I25</f>
        <v>25.98</v>
      </c>
      <c r="J7" s="9">
        <f>'Data Sheet'!J25</f>
        <v>20.37</v>
      </c>
      <c r="K7" s="9">
        <f>'Data Sheet'!K25</f>
        <v>7.52</v>
      </c>
      <c r="L7" s="9">
        <f>SUM(Quarters!H7:K7)</f>
        <v>0.76</v>
      </c>
      <c r="M7" s="9">
        <v>0.0</v>
      </c>
      <c r="N7" s="9">
        <v>0.0</v>
      </c>
    </row>
    <row r="8" ht="14.25" customHeight="1">
      <c r="A8" s="8" t="s">
        <v>8</v>
      </c>
      <c r="B8" s="9">
        <f>'Data Sheet'!B26</f>
        <v>52.91</v>
      </c>
      <c r="C8" s="9">
        <f>'Data Sheet'!C26</f>
        <v>50.68</v>
      </c>
      <c r="D8" s="9">
        <f>'Data Sheet'!D26</f>
        <v>48.5</v>
      </c>
      <c r="E8" s="9">
        <f>'Data Sheet'!E26</f>
        <v>46.17</v>
      </c>
      <c r="F8" s="9">
        <f>'Data Sheet'!F26</f>
        <v>44.48</v>
      </c>
      <c r="G8" s="9">
        <f>'Data Sheet'!G26</f>
        <v>40.75</v>
      </c>
      <c r="H8" s="9">
        <f>'Data Sheet'!H26</f>
        <v>38.81</v>
      </c>
      <c r="I8" s="9">
        <f>'Data Sheet'!I26</f>
        <v>35.08</v>
      </c>
      <c r="J8" s="9">
        <f>'Data Sheet'!J26</f>
        <v>35.46</v>
      </c>
      <c r="K8" s="9">
        <f>'Data Sheet'!K26</f>
        <v>41.26</v>
      </c>
      <c r="L8" s="9">
        <f>SUM(Quarters!H8:K8)</f>
        <v>44.18</v>
      </c>
      <c r="M8" s="9">
        <f t="shared" ref="M8:N8" si="5">+$L8</f>
        <v>44.18</v>
      </c>
      <c r="N8" s="9">
        <f t="shared" si="5"/>
        <v>44.18</v>
      </c>
    </row>
    <row r="9" ht="14.25" customHeight="1">
      <c r="A9" s="8" t="s">
        <v>9</v>
      </c>
      <c r="B9" s="9">
        <f>'Data Sheet'!B27</f>
        <v>70.71</v>
      </c>
      <c r="C9" s="9">
        <f>'Data Sheet'!C27</f>
        <v>68.42</v>
      </c>
      <c r="D9" s="9">
        <f>'Data Sheet'!D27</f>
        <v>46.27</v>
      </c>
      <c r="E9" s="9">
        <f>'Data Sheet'!E27</f>
        <v>40.67</v>
      </c>
      <c r="F9" s="9">
        <f>'Data Sheet'!F27</f>
        <v>30.64</v>
      </c>
      <c r="G9" s="9">
        <f>'Data Sheet'!G27</f>
        <v>22.2</v>
      </c>
      <c r="H9" s="9">
        <f>'Data Sheet'!H27</f>
        <v>14.71</v>
      </c>
      <c r="I9" s="9">
        <f>'Data Sheet'!I27</f>
        <v>7.48</v>
      </c>
      <c r="J9" s="9">
        <f>'Data Sheet'!J27</f>
        <v>6.55</v>
      </c>
      <c r="K9" s="9">
        <f>'Data Sheet'!K27</f>
        <v>12.94</v>
      </c>
      <c r="L9" s="9">
        <f>SUM(Quarters!H9:K9)</f>
        <v>13.5</v>
      </c>
      <c r="M9" s="9">
        <f t="shared" ref="M9:N9" si="6">+$L9</f>
        <v>13.5</v>
      </c>
      <c r="N9" s="9">
        <f t="shared" si="6"/>
        <v>13.5</v>
      </c>
    </row>
    <row r="10" ht="14.25" customHeight="1">
      <c r="A10" s="8" t="s">
        <v>10</v>
      </c>
      <c r="B10" s="9">
        <f>'Data Sheet'!B28</f>
        <v>24.06</v>
      </c>
      <c r="C10" s="9">
        <f>'Data Sheet'!C28</f>
        <v>26.99</v>
      </c>
      <c r="D10" s="9">
        <f>'Data Sheet'!D28</f>
        <v>54.34</v>
      </c>
      <c r="E10" s="9">
        <f>'Data Sheet'!E28</f>
        <v>55.05</v>
      </c>
      <c r="F10" s="9">
        <f>'Data Sheet'!F28</f>
        <v>42.8</v>
      </c>
      <c r="G10" s="9">
        <f>'Data Sheet'!G28</f>
        <v>40.09</v>
      </c>
      <c r="H10" s="9">
        <f>'Data Sheet'!H28</f>
        <v>19.42</v>
      </c>
      <c r="I10" s="9">
        <f>'Data Sheet'!I28</f>
        <v>122.41</v>
      </c>
      <c r="J10" s="9">
        <f>'Data Sheet'!J28</f>
        <v>129.8</v>
      </c>
      <c r="K10" s="9">
        <f>'Data Sheet'!K28</f>
        <v>376.78</v>
      </c>
      <c r="L10" s="9">
        <f>SUM(Quarters!H10:K10)</f>
        <v>387.14</v>
      </c>
      <c r="M10" s="9">
        <f t="shared" ref="M10:N10" si="7">M6+M7-SUM(M8:M9)</f>
        <v>712.3051397</v>
      </c>
      <c r="N10" s="9">
        <f t="shared" si="7"/>
        <v>196.5207998</v>
      </c>
    </row>
    <row r="11" ht="14.25" customHeight="1">
      <c r="A11" s="8" t="s">
        <v>11</v>
      </c>
      <c r="B11" s="9">
        <f>'Data Sheet'!B29</f>
        <v>10.32</v>
      </c>
      <c r="C11" s="9">
        <f>'Data Sheet'!C29</f>
        <v>12.16</v>
      </c>
      <c r="D11" s="9">
        <f>'Data Sheet'!D29</f>
        <v>15.95</v>
      </c>
      <c r="E11" s="9">
        <f>'Data Sheet'!E29</f>
        <v>23.37</v>
      </c>
      <c r="F11" s="9">
        <f>'Data Sheet'!F29</f>
        <v>15.07</v>
      </c>
      <c r="G11" s="9">
        <f>'Data Sheet'!G29</f>
        <v>13.87</v>
      </c>
      <c r="H11" s="9">
        <f>'Data Sheet'!H29</f>
        <v>5.7</v>
      </c>
      <c r="I11" s="9">
        <f>'Data Sheet'!I29</f>
        <v>28.69</v>
      </c>
      <c r="J11" s="9">
        <f>'Data Sheet'!J29</f>
        <v>31.36</v>
      </c>
      <c r="K11" s="9">
        <f>'Data Sheet'!K29</f>
        <v>96.43</v>
      </c>
      <c r="L11" s="9">
        <f>SUM(Quarters!H11:K11)</f>
        <v>111.35</v>
      </c>
      <c r="M11" s="10">
        <f t="shared" ref="M11:N11" si="8">IF($L10&gt;0,$L11/$L10,0)</f>
        <v>0.2876220489</v>
      </c>
      <c r="N11" s="10">
        <f t="shared" si="8"/>
        <v>0.2876220489</v>
      </c>
    </row>
    <row r="12" ht="14.25" customHeight="1">
      <c r="A12" s="2" t="s">
        <v>12</v>
      </c>
      <c r="B12" s="1">
        <f>'Data Sheet'!B30</f>
        <v>14.22</v>
      </c>
      <c r="C12" s="1">
        <f>'Data Sheet'!C30</f>
        <v>14.9</v>
      </c>
      <c r="D12" s="1">
        <f>'Data Sheet'!D30</f>
        <v>38.66</v>
      </c>
      <c r="E12" s="1">
        <f>'Data Sheet'!E30</f>
        <v>31.63</v>
      </c>
      <c r="F12" s="1">
        <f>'Data Sheet'!F30</f>
        <v>27.73</v>
      </c>
      <c r="G12" s="1">
        <f>'Data Sheet'!G30</f>
        <v>26.22</v>
      </c>
      <c r="H12" s="1">
        <f>'Data Sheet'!H30</f>
        <v>13.73</v>
      </c>
      <c r="I12" s="1">
        <f>'Data Sheet'!I30</f>
        <v>93.9</v>
      </c>
      <c r="J12" s="1">
        <f>'Data Sheet'!J30</f>
        <v>98.65</v>
      </c>
      <c r="K12" s="1">
        <f>'Data Sheet'!K30</f>
        <v>280.89</v>
      </c>
      <c r="L12" s="1">
        <f>SUM(Quarters!H12:K12)</f>
        <v>313.41</v>
      </c>
      <c r="M12" s="1">
        <f t="shared" ref="M12:N12" si="9">M10-M11*M10</f>
        <v>507.430476</v>
      </c>
      <c r="N12" s="1">
        <f t="shared" si="9"/>
        <v>139.9970847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8" t="s">
        <v>13</v>
      </c>
      <c r="B13" s="9">
        <f>IF('Data Sheet'!B93&gt;0,B12/'Data Sheet'!B93,0)</f>
        <v>0.562055336</v>
      </c>
      <c r="C13" s="9">
        <f>IF('Data Sheet'!C93&gt;0,C12/'Data Sheet'!C93,0)</f>
        <v>0.5889328063</v>
      </c>
      <c r="D13" s="9">
        <f>IF('Data Sheet'!D93&gt;0,D12/'Data Sheet'!D93,0)</f>
        <v>1.528063241</v>
      </c>
      <c r="E13" s="9">
        <f>IF('Data Sheet'!E93&gt;0,E12/'Data Sheet'!E93,0)</f>
        <v>1.141053391</v>
      </c>
      <c r="F13" s="9">
        <f>IF('Data Sheet'!F93&gt;0,F12/'Data Sheet'!F93,0)</f>
        <v>1.00036075</v>
      </c>
      <c r="G13" s="9">
        <f>IF('Data Sheet'!G93&gt;0,G12/'Data Sheet'!G93,0)</f>
        <v>0.9458874459</v>
      </c>
      <c r="H13" s="9">
        <f>IF('Data Sheet'!H93&gt;0,H12/'Data Sheet'!H93,0)</f>
        <v>0.4953102453</v>
      </c>
      <c r="I13" s="9">
        <f>IF('Data Sheet'!I93&gt;0,I12/'Data Sheet'!I93,0)</f>
        <v>3.387445887</v>
      </c>
      <c r="J13" s="9">
        <f>IF('Data Sheet'!J93&gt;0,J12/'Data Sheet'!J93,0)</f>
        <v>3.558802309</v>
      </c>
      <c r="K13" s="9">
        <f>IF('Data Sheet'!K93&gt;0,K12/'Data Sheet'!K93,0)</f>
        <v>10.13311688</v>
      </c>
      <c r="L13" s="9">
        <f>IF('Data Sheet'!$B6&gt;0,'Profit &amp; Loss'!L12/'Data Sheet'!$B6,0)</f>
        <v>11.31416429</v>
      </c>
      <c r="M13" s="9">
        <f>IF('Data Sheet'!$B6&gt;0,'Profit &amp; Loss'!M12/'Data Sheet'!$B6,0)</f>
        <v>18.31834265</v>
      </c>
      <c r="N13" s="9">
        <f>IF('Data Sheet'!$B6&gt;0,'Profit &amp; Loss'!N12/'Data Sheet'!$B6,0)</f>
        <v>5.053923029</v>
      </c>
    </row>
    <row r="14" ht="14.25" customHeight="1">
      <c r="A14" s="8" t="s">
        <v>14</v>
      </c>
      <c r="B14" s="9">
        <f t="shared" ref="B14:K14" si="10">IF(B15&gt;0,B15/B13,"")</f>
        <v>90.91631505</v>
      </c>
      <c r="C14" s="9">
        <f t="shared" si="10"/>
        <v>61.63691275</v>
      </c>
      <c r="D14" s="9">
        <f t="shared" si="10"/>
        <v>28.00931195</v>
      </c>
      <c r="E14" s="9">
        <f t="shared" si="10"/>
        <v>38.69231742</v>
      </c>
      <c r="F14" s="9">
        <f t="shared" si="10"/>
        <v>25.59076812</v>
      </c>
      <c r="G14" s="9">
        <f t="shared" si="10"/>
        <v>11.62929062</v>
      </c>
      <c r="H14" s="9">
        <f t="shared" si="10"/>
        <v>67.33153678</v>
      </c>
      <c r="I14" s="9">
        <f t="shared" si="10"/>
        <v>18.71616613</v>
      </c>
      <c r="J14" s="9">
        <f t="shared" si="10"/>
        <v>26.7646224</v>
      </c>
      <c r="K14" s="9">
        <f t="shared" si="10"/>
        <v>44.80358859</v>
      </c>
      <c r="L14" s="9">
        <f>IF(L13&gt;0,L15/L13,0)</f>
        <v>45.75680419</v>
      </c>
      <c r="M14" s="9">
        <f t="shared" ref="M14:N14" si="11">M25</f>
        <v>45.75680419</v>
      </c>
      <c r="N14" s="9">
        <f t="shared" si="11"/>
        <v>34.01029533</v>
      </c>
    </row>
    <row r="15" ht="14.25" customHeight="1">
      <c r="A15" s="2" t="s">
        <v>15</v>
      </c>
      <c r="B15" s="1">
        <f>'Data Sheet'!B90</f>
        <v>51.1</v>
      </c>
      <c r="C15" s="1">
        <f>'Data Sheet'!C90</f>
        <v>36.3</v>
      </c>
      <c r="D15" s="1">
        <f>'Data Sheet'!D90</f>
        <v>42.8</v>
      </c>
      <c r="E15" s="1">
        <f>'Data Sheet'!E90</f>
        <v>44.15</v>
      </c>
      <c r="F15" s="1">
        <f>'Data Sheet'!F90</f>
        <v>25.6</v>
      </c>
      <c r="G15" s="1">
        <f>'Data Sheet'!G90</f>
        <v>11</v>
      </c>
      <c r="H15" s="1">
        <f>'Data Sheet'!H90</f>
        <v>33.35</v>
      </c>
      <c r="I15" s="1">
        <f>'Data Sheet'!I90</f>
        <v>63.4</v>
      </c>
      <c r="J15" s="1">
        <f>'Data Sheet'!J90</f>
        <v>95.25</v>
      </c>
      <c r="K15" s="1">
        <f>'Data Sheet'!K90</f>
        <v>454</v>
      </c>
      <c r="L15" s="1">
        <f>'Data Sheet'!B8</f>
        <v>517.7</v>
      </c>
      <c r="M15" s="11">
        <f t="shared" ref="M15:N15" si="12">M13*M14</f>
        <v>838.1888179</v>
      </c>
      <c r="N15" s="12">
        <f t="shared" si="12"/>
        <v>171.8854148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/>
    <row r="17" ht="14.25" customHeight="1">
      <c r="A17" s="2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8" t="s">
        <v>17</v>
      </c>
      <c r="B18" s="13">
        <f>IF('Data Sheet'!B30&gt;0, 'Data Sheet'!B31/'Data Sheet'!B30, 0)</f>
        <v>0.3558368495</v>
      </c>
      <c r="C18" s="13">
        <f>IF('Data Sheet'!C30&gt;0, 'Data Sheet'!C31/'Data Sheet'!C30, 0)</f>
        <v>0.4241610738</v>
      </c>
      <c r="D18" s="13">
        <f>IF('Data Sheet'!D30&gt;0, 'Data Sheet'!D31/'Data Sheet'!D30, 0)</f>
        <v>0.179255044</v>
      </c>
      <c r="E18" s="13">
        <f>IF('Data Sheet'!E30&gt;0, 'Data Sheet'!E31/'Data Sheet'!E30, 0)</f>
        <v>0.2190957951</v>
      </c>
      <c r="F18" s="13">
        <f>IF('Data Sheet'!F30&gt;0, 'Data Sheet'!F31/'Data Sheet'!F30, 0)</f>
        <v>0.300036062</v>
      </c>
      <c r="G18" s="13">
        <f>IF('Data Sheet'!G30&gt;0, 'Data Sheet'!G31/'Data Sheet'!G30, 0)</f>
        <v>0.3173150267</v>
      </c>
      <c r="H18" s="13">
        <f>IF('Data Sheet'!H30&gt;0, 'Data Sheet'!H31/'Data Sheet'!H30, 0)</f>
        <v>0.7064821559</v>
      </c>
      <c r="I18" s="13">
        <f>IF('Data Sheet'!I30&gt;0, 'Data Sheet'!I31/'Data Sheet'!I30, 0)</f>
        <v>0.1181043663</v>
      </c>
      <c r="J18" s="13">
        <f>IF('Data Sheet'!J30&gt;0, 'Data Sheet'!J31/'Data Sheet'!J30, 0)</f>
        <v>0.1264064876</v>
      </c>
      <c r="K18" s="13">
        <f>IF('Data Sheet'!K30&gt;0, 'Data Sheet'!K31/'Data Sheet'!K30, 0)</f>
        <v>0.04934315924</v>
      </c>
    </row>
    <row r="19" ht="14.25" customHeight="1">
      <c r="A19" s="8" t="s">
        <v>18</v>
      </c>
      <c r="B19" s="13">
        <f t="shared" ref="B19:L19" si="13">IF(B6&gt;0,B6/B4,0)</f>
        <v>0.1030697854</v>
      </c>
      <c r="C19" s="13">
        <f t="shared" si="13"/>
        <v>0.1035754715</v>
      </c>
      <c r="D19" s="13">
        <f t="shared" si="13"/>
        <v>0.09091744611</v>
      </c>
      <c r="E19" s="13">
        <f t="shared" si="13"/>
        <v>0.07855846189</v>
      </c>
      <c r="F19" s="13">
        <f t="shared" si="13"/>
        <v>0.07676873005</v>
      </c>
      <c r="G19" s="13">
        <f t="shared" si="13"/>
        <v>0.07376944073</v>
      </c>
      <c r="H19" s="13">
        <f t="shared" si="13"/>
        <v>0.07386737424</v>
      </c>
      <c r="I19" s="13">
        <f t="shared" si="13"/>
        <v>0.1124323537</v>
      </c>
      <c r="J19" s="13">
        <f t="shared" si="13"/>
        <v>0.1106467545</v>
      </c>
      <c r="K19" s="13">
        <f t="shared" si="13"/>
        <v>0.1896066913</v>
      </c>
      <c r="L19" s="13">
        <f t="shared" si="13"/>
        <v>0.2112840911</v>
      </c>
    </row>
    <row r="20" ht="14.25" customHeight="1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ht="14.25" customHeight="1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ht="14.25" customHeight="1">
      <c r="A22" s="5"/>
      <c r="B22" s="6"/>
      <c r="C22" s="6"/>
      <c r="D22" s="6"/>
      <c r="E22" s="6"/>
      <c r="F22" s="6"/>
      <c r="G22" s="6" t="s">
        <v>19</v>
      </c>
      <c r="H22" s="6" t="s">
        <v>20</v>
      </c>
      <c r="I22" s="6" t="s">
        <v>21</v>
      </c>
      <c r="J22" s="6" t="s">
        <v>22</v>
      </c>
      <c r="K22" s="6" t="s">
        <v>23</v>
      </c>
      <c r="L22" s="7" t="s">
        <v>24</v>
      </c>
      <c r="M22" s="7" t="s">
        <v>25</v>
      </c>
      <c r="N22" s="7" t="s">
        <v>26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G23" s="8" t="s">
        <v>27</v>
      </c>
      <c r="H23" s="13">
        <f>IF(B4=0,"",POWER($K4/B4,1/9)-1)</f>
        <v>0.05759017025</v>
      </c>
      <c r="I23" s="13">
        <f>IF(D4=0,"",POWER($K4/D4,1/7)-1)</f>
        <v>0.06742619446</v>
      </c>
      <c r="J23" s="13">
        <f>IF(F4=0,"",POWER($K4/F4,1/5)-1)</f>
        <v>0.12024558</v>
      </c>
      <c r="K23" s="13">
        <f>IF(H4=0,"",POWER($K4/H4, 1/3)-1)</f>
        <v>0.3478708546</v>
      </c>
      <c r="L23" s="13">
        <f>IF(ISERROR(MAX(IF(J4=0,"",(K4-J4)/J4),IF(K4=0,"",(L4-K4)/K4))),"",MAX(IF(J4=0,"",(K4-J4)/J4),IF(K4=0,"",(L4-K4)/K4)))</f>
        <v>0.6317619897</v>
      </c>
      <c r="M23" s="14">
        <f t="shared" ref="M23:M25" si="14">MAX(K23:L23)</f>
        <v>0.6317619897</v>
      </c>
      <c r="N23" s="14">
        <f t="shared" ref="N23:N25" si="15">MIN(H23:L23)</f>
        <v>0.05759017025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G24" s="8" t="s">
        <v>18</v>
      </c>
      <c r="H24" s="13">
        <f>IF(SUM(B4:$K$4)=0,"",SUMPRODUCT(B19:$K$19,B4:$K$4)/SUM(B4:$K$4))</f>
        <v>0.1079684723</v>
      </c>
      <c r="I24" s="13">
        <f>IF(SUM(E4:$K$4)=0,"",SUMPRODUCT(E19:$K$19,E4:$K$4)/SUM(E4:$K$4))</f>
        <v>0.1117201595</v>
      </c>
      <c r="J24" s="13">
        <f>IF(SUM(G4:$K$4)=0,"",SUMPRODUCT(G19:$K$19,G4:$K$4)/SUM(G4:$K$4))</f>
        <v>0.1259560338</v>
      </c>
      <c r="K24" s="13">
        <f>IF(SUM(I4:$K$4)=0, "", SUMPRODUCT(I19:$K$19,I4:$K$4)/SUM(I4:$K$4))</f>
        <v>0.147551284</v>
      </c>
      <c r="L24" s="13">
        <f>L19</f>
        <v>0.2112840911</v>
      </c>
      <c r="M24" s="14">
        <f t="shared" si="14"/>
        <v>0.2112840911</v>
      </c>
      <c r="N24" s="14">
        <f t="shared" si="15"/>
        <v>0.1079684723</v>
      </c>
    </row>
    <row r="25" ht="14.25" customHeight="1">
      <c r="G25" s="8" t="s">
        <v>28</v>
      </c>
      <c r="H25" s="9">
        <f>IF(ISERROR(AVERAGEIF(B14:$L14,"&gt;0")),"",AVERAGEIF(B14:$L14,"&gt;0"))</f>
        <v>41.80433036</v>
      </c>
      <c r="I25" s="9">
        <f>IF(ISERROR(AVERAGEIF(E14:$L14,"&gt;0")),"",AVERAGEIF(E14:$L14,"&gt;0"))</f>
        <v>34.91063678</v>
      </c>
      <c r="J25" s="9">
        <f>IF(ISERROR(AVERAGEIF(G14:$L14,"&gt;0")),"",AVERAGEIF(G14:$L14,"&gt;0"))</f>
        <v>35.83366812</v>
      </c>
      <c r="K25" s="9">
        <f>IF(ISERROR(AVERAGEIF(I14:$L14,"&gt;0")),"",AVERAGEIF(I14:$L14,"&gt;0"))</f>
        <v>34.01029533</v>
      </c>
      <c r="L25" s="9">
        <f>L14</f>
        <v>45.75680419</v>
      </c>
      <c r="M25" s="1">
        <f t="shared" si="14"/>
        <v>45.75680419</v>
      </c>
      <c r="N25" s="1">
        <f t="shared" si="15"/>
        <v>34.01029533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gridLines="1"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0.71"/>
    <col customWidth="1" min="2" max="11" width="13.43"/>
    <col customWidth="1" min="12" max="26" width="8.71"/>
  </cols>
  <sheetData>
    <row r="1" ht="14.25" customHeight="1">
      <c r="A1" s="1" t="str">
        <f>'Profit &amp; Loss'!A1</f>
        <v>HBL ENGINEERING LTD</v>
      </c>
      <c r="B1" s="2"/>
      <c r="C1" s="2"/>
      <c r="D1" s="2"/>
      <c r="E1" s="3" t="str">
        <f>UPDATE</f>
        <v/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/>
    <row r="3" ht="14.25" customHeight="1">
      <c r="A3" s="5" t="s">
        <v>0</v>
      </c>
      <c r="B3" s="6">
        <f>'Data Sheet'!B41</f>
        <v>44834</v>
      </c>
      <c r="C3" s="6">
        <f>'Data Sheet'!C41</f>
        <v>44926</v>
      </c>
      <c r="D3" s="6">
        <f>'Data Sheet'!D41</f>
        <v>45016</v>
      </c>
      <c r="E3" s="6">
        <f>'Data Sheet'!E41</f>
        <v>45107</v>
      </c>
      <c r="F3" s="6">
        <f>'Data Sheet'!F41</f>
        <v>45199</v>
      </c>
      <c r="G3" s="6">
        <f>'Data Sheet'!G41</f>
        <v>45291</v>
      </c>
      <c r="H3" s="6">
        <f>'Data Sheet'!H41</f>
        <v>45382</v>
      </c>
      <c r="I3" s="6">
        <f>'Data Sheet'!I41</f>
        <v>45473</v>
      </c>
      <c r="J3" s="6">
        <f>'Data Sheet'!J41</f>
        <v>45565</v>
      </c>
      <c r="K3" s="6">
        <f>'Data Sheet'!K41</f>
        <v>45657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 t="s">
        <v>4</v>
      </c>
      <c r="B4" s="1">
        <f>'Data Sheet'!B42</f>
        <v>313.88</v>
      </c>
      <c r="C4" s="1">
        <f>'Data Sheet'!C42</f>
        <v>332.49</v>
      </c>
      <c r="D4" s="1">
        <f>'Data Sheet'!D42</f>
        <v>402.61</v>
      </c>
      <c r="E4" s="1">
        <f>'Data Sheet'!E42</f>
        <v>467.43</v>
      </c>
      <c r="F4" s="1">
        <f>'Data Sheet'!F42</f>
        <v>556.58</v>
      </c>
      <c r="G4" s="1">
        <f>'Data Sheet'!G42</f>
        <v>599.26</v>
      </c>
      <c r="H4" s="1">
        <f>'Data Sheet'!H42</f>
        <v>610.09</v>
      </c>
      <c r="I4" s="1">
        <f>'Data Sheet'!I42</f>
        <v>520.11</v>
      </c>
      <c r="J4" s="1">
        <f>'Data Sheet'!J42</f>
        <v>520.96</v>
      </c>
      <c r="K4" s="1">
        <f>'Data Sheet'!K42</f>
        <v>450.56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8" t="s">
        <v>5</v>
      </c>
      <c r="B5" s="9">
        <f>'Data Sheet'!B43</f>
        <v>280.61</v>
      </c>
      <c r="C5" s="9">
        <f>'Data Sheet'!C43</f>
        <v>294.1</v>
      </c>
      <c r="D5" s="9">
        <f>'Data Sheet'!D43</f>
        <v>357.84</v>
      </c>
      <c r="E5" s="9">
        <f>'Data Sheet'!E43</f>
        <v>389.5</v>
      </c>
      <c r="F5" s="9">
        <f>'Data Sheet'!F43</f>
        <v>455.74</v>
      </c>
      <c r="G5" s="9">
        <f>'Data Sheet'!G43</f>
        <v>486.06</v>
      </c>
      <c r="H5" s="9">
        <f>'Data Sheet'!H43</f>
        <v>478.6</v>
      </c>
      <c r="I5" s="9">
        <f>'Data Sheet'!I43</f>
        <v>409.64</v>
      </c>
      <c r="J5" s="9">
        <f>'Data Sheet'!J43</f>
        <v>412.42</v>
      </c>
      <c r="K5" s="9">
        <f>'Data Sheet'!K43</f>
        <v>357</v>
      </c>
    </row>
    <row r="6" ht="14.25" customHeight="1">
      <c r="A6" s="2" t="s">
        <v>6</v>
      </c>
      <c r="B6" s="1">
        <f>'Data Sheet'!B50</f>
        <v>33.27</v>
      </c>
      <c r="C6" s="1">
        <f>'Data Sheet'!C50</f>
        <v>38.39</v>
      </c>
      <c r="D6" s="1">
        <f>'Data Sheet'!D50</f>
        <v>44.77</v>
      </c>
      <c r="E6" s="1">
        <f>'Data Sheet'!E50</f>
        <v>77.93</v>
      </c>
      <c r="F6" s="1">
        <f>'Data Sheet'!F50</f>
        <v>100.84</v>
      </c>
      <c r="G6" s="1">
        <f>'Data Sheet'!G50</f>
        <v>113.2</v>
      </c>
      <c r="H6" s="1">
        <f>'Data Sheet'!H50</f>
        <v>131.49</v>
      </c>
      <c r="I6" s="1">
        <f>'Data Sheet'!I50</f>
        <v>110.47</v>
      </c>
      <c r="J6" s="1">
        <f>'Data Sheet'!J50</f>
        <v>108.54</v>
      </c>
      <c r="K6" s="1">
        <f>'Data Sheet'!K50</f>
        <v>93.56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8" t="s">
        <v>7</v>
      </c>
      <c r="B7" s="9">
        <f>'Data Sheet'!B44</f>
        <v>6.14</v>
      </c>
      <c r="C7" s="9">
        <f>'Data Sheet'!C44</f>
        <v>5.79</v>
      </c>
      <c r="D7" s="9">
        <f>'Data Sheet'!D44</f>
        <v>3.93</v>
      </c>
      <c r="E7" s="9">
        <f>'Data Sheet'!E44</f>
        <v>2.73</v>
      </c>
      <c r="F7" s="9">
        <f>'Data Sheet'!F44</f>
        <v>3.25</v>
      </c>
      <c r="G7" s="9">
        <f>'Data Sheet'!G44</f>
        <v>2.44</v>
      </c>
      <c r="H7" s="9">
        <f>'Data Sheet'!H44</f>
        <v>-18.6</v>
      </c>
      <c r="I7" s="9">
        <f>'Data Sheet'!I44</f>
        <v>5.44</v>
      </c>
      <c r="J7" s="9">
        <f>'Data Sheet'!J44</f>
        <v>12.42</v>
      </c>
      <c r="K7" s="9">
        <f>'Data Sheet'!K44</f>
        <v>1.5</v>
      </c>
    </row>
    <row r="8" ht="14.25" customHeight="1">
      <c r="A8" s="8" t="s">
        <v>8</v>
      </c>
      <c r="B8" s="9">
        <f>'Data Sheet'!B45</f>
        <v>8.44</v>
      </c>
      <c r="C8" s="9">
        <f>'Data Sheet'!C45</f>
        <v>8.73</v>
      </c>
      <c r="D8" s="9">
        <f>'Data Sheet'!D45</f>
        <v>10.01</v>
      </c>
      <c r="E8" s="9">
        <f>'Data Sheet'!E45</f>
        <v>9.5</v>
      </c>
      <c r="F8" s="9">
        <f>'Data Sheet'!F45</f>
        <v>10.01</v>
      </c>
      <c r="G8" s="9">
        <f>'Data Sheet'!G45</f>
        <v>10.84</v>
      </c>
      <c r="H8" s="9">
        <f>'Data Sheet'!H45</f>
        <v>10.9</v>
      </c>
      <c r="I8" s="9">
        <f>'Data Sheet'!I45</f>
        <v>10.83</v>
      </c>
      <c r="J8" s="9">
        <f>'Data Sheet'!J45</f>
        <v>11.26</v>
      </c>
      <c r="K8" s="9">
        <f>'Data Sheet'!K45</f>
        <v>11.19</v>
      </c>
    </row>
    <row r="9" ht="14.25" customHeight="1">
      <c r="A9" s="8" t="s">
        <v>9</v>
      </c>
      <c r="B9" s="9">
        <f>'Data Sheet'!B46</f>
        <v>1.05</v>
      </c>
      <c r="C9" s="9">
        <f>'Data Sheet'!C46</f>
        <v>2.08</v>
      </c>
      <c r="D9" s="9">
        <f>'Data Sheet'!D46</f>
        <v>2.55</v>
      </c>
      <c r="E9" s="9">
        <f>'Data Sheet'!E46</f>
        <v>2.08</v>
      </c>
      <c r="F9" s="9">
        <f>'Data Sheet'!F46</f>
        <v>3.4</v>
      </c>
      <c r="G9" s="9">
        <f>'Data Sheet'!G46</f>
        <v>3.28</v>
      </c>
      <c r="H9" s="9">
        <f>'Data Sheet'!H46</f>
        <v>4.17</v>
      </c>
      <c r="I9" s="9">
        <f>'Data Sheet'!I46</f>
        <v>1.89</v>
      </c>
      <c r="J9" s="9">
        <f>'Data Sheet'!J46</f>
        <v>2.79</v>
      </c>
      <c r="K9" s="9">
        <f>'Data Sheet'!K46</f>
        <v>4.65</v>
      </c>
    </row>
    <row r="10" ht="14.25" customHeight="1">
      <c r="A10" s="8" t="s">
        <v>10</v>
      </c>
      <c r="B10" s="9">
        <f>'Data Sheet'!B47</f>
        <v>29.92</v>
      </c>
      <c r="C10" s="9">
        <f>'Data Sheet'!C47</f>
        <v>33.37</v>
      </c>
      <c r="D10" s="9">
        <f>'Data Sheet'!D47</f>
        <v>36.14</v>
      </c>
      <c r="E10" s="9">
        <f>'Data Sheet'!E47</f>
        <v>69.08</v>
      </c>
      <c r="F10" s="9">
        <f>'Data Sheet'!F47</f>
        <v>90.68</v>
      </c>
      <c r="G10" s="9">
        <f>'Data Sheet'!G47</f>
        <v>101.52</v>
      </c>
      <c r="H10" s="9">
        <f>'Data Sheet'!H47</f>
        <v>97.82</v>
      </c>
      <c r="I10" s="9">
        <f>'Data Sheet'!I47</f>
        <v>103.19</v>
      </c>
      <c r="J10" s="9">
        <f>'Data Sheet'!J47</f>
        <v>106.91</v>
      </c>
      <c r="K10" s="9">
        <f>'Data Sheet'!K47</f>
        <v>79.22</v>
      </c>
    </row>
    <row r="11" ht="14.25" customHeight="1">
      <c r="A11" s="8" t="s">
        <v>11</v>
      </c>
      <c r="B11" s="9">
        <f>'Data Sheet'!B48</f>
        <v>10.39</v>
      </c>
      <c r="C11" s="9">
        <f>'Data Sheet'!C48</f>
        <v>10.73</v>
      </c>
      <c r="D11" s="9">
        <f>'Data Sheet'!D48</f>
        <v>1.2</v>
      </c>
      <c r="E11" s="9">
        <f>'Data Sheet'!E48</f>
        <v>17.57</v>
      </c>
      <c r="F11" s="9">
        <f>'Data Sheet'!F48</f>
        <v>23.52</v>
      </c>
      <c r="G11" s="9">
        <f>'Data Sheet'!G48</f>
        <v>23.07</v>
      </c>
      <c r="H11" s="9">
        <f>'Data Sheet'!H48</f>
        <v>32.29</v>
      </c>
      <c r="I11" s="9">
        <f>'Data Sheet'!I48</f>
        <v>27.33</v>
      </c>
      <c r="J11" s="9">
        <f>'Data Sheet'!J48</f>
        <v>30.9</v>
      </c>
      <c r="K11" s="9">
        <f>'Data Sheet'!K48</f>
        <v>20.83</v>
      </c>
    </row>
    <row r="12" ht="14.25" customHeight="1">
      <c r="A12" s="2" t="s">
        <v>12</v>
      </c>
      <c r="B12" s="1">
        <f>'Data Sheet'!B49</f>
        <v>20.08</v>
      </c>
      <c r="C12" s="1">
        <f>'Data Sheet'!C49</f>
        <v>23.74</v>
      </c>
      <c r="D12" s="1">
        <f>'Data Sheet'!D49</f>
        <v>34.8</v>
      </c>
      <c r="E12" s="1">
        <f>'Data Sheet'!E49</f>
        <v>51.73</v>
      </c>
      <c r="F12" s="1">
        <f>'Data Sheet'!F49</f>
        <v>68.67</v>
      </c>
      <c r="G12" s="1">
        <f>'Data Sheet'!G49</f>
        <v>79.04</v>
      </c>
      <c r="H12" s="1">
        <f>'Data Sheet'!H49</f>
        <v>81.45</v>
      </c>
      <c r="I12" s="1">
        <f>'Data Sheet'!I49</f>
        <v>80.09</v>
      </c>
      <c r="J12" s="1">
        <f>'Data Sheet'!J49</f>
        <v>87.26</v>
      </c>
      <c r="K12" s="1">
        <f>'Data Sheet'!K49</f>
        <v>64.61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/>
    <row r="14" ht="14.25" customHeight="1">
      <c r="A14" s="2" t="s">
        <v>18</v>
      </c>
      <c r="B14" s="15">
        <f t="shared" ref="B14:K14" si="1">IF(B4&gt;0,B6/B4,"")</f>
        <v>0.105995922</v>
      </c>
      <c r="C14" s="15">
        <f t="shared" si="1"/>
        <v>0.1154621192</v>
      </c>
      <c r="D14" s="15">
        <f t="shared" si="1"/>
        <v>0.1111994238</v>
      </c>
      <c r="E14" s="15">
        <f t="shared" si="1"/>
        <v>0.1667201506</v>
      </c>
      <c r="F14" s="15">
        <f t="shared" si="1"/>
        <v>0.1811779079</v>
      </c>
      <c r="G14" s="15">
        <f t="shared" si="1"/>
        <v>0.1888996429</v>
      </c>
      <c r="H14" s="15">
        <f t="shared" si="1"/>
        <v>0.2155255782</v>
      </c>
      <c r="I14" s="15">
        <f t="shared" si="1"/>
        <v>0.2123973775</v>
      </c>
      <c r="J14" s="15">
        <f t="shared" si="1"/>
        <v>0.2083461302</v>
      </c>
      <c r="K14" s="15">
        <f t="shared" si="1"/>
        <v>0.2076526989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gridLines="1"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2.71"/>
    <col customWidth="1" min="2" max="2" width="13.43"/>
    <col customWidth="1" min="3" max="11" width="15.43"/>
    <col customWidth="1" min="12" max="26" width="8.71"/>
  </cols>
  <sheetData>
    <row r="1" ht="14.25" customHeight="1">
      <c r="A1" s="1" t="str">
        <f>'Profit &amp; Loss'!A1</f>
        <v>HBL ENGINEERING LTD</v>
      </c>
      <c r="B1" s="2"/>
      <c r="C1" s="2"/>
      <c r="D1" s="2"/>
      <c r="E1" s="3" t="str">
        <f>UPDATE</f>
        <v/>
      </c>
      <c r="F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G2" s="2"/>
      <c r="H2" s="2"/>
    </row>
    <row r="3" ht="14.25" customHeight="1">
      <c r="A3" s="5" t="s">
        <v>0</v>
      </c>
      <c r="B3" s="6">
        <f>'Data Sheet'!B56</f>
        <v>42094</v>
      </c>
      <c r="C3" s="6">
        <f>'Data Sheet'!C56</f>
        <v>42460</v>
      </c>
      <c r="D3" s="6">
        <f>'Data Sheet'!D56</f>
        <v>42825</v>
      </c>
      <c r="E3" s="6">
        <f>'Data Sheet'!E56</f>
        <v>43190</v>
      </c>
      <c r="F3" s="6">
        <f>'Data Sheet'!F56</f>
        <v>43555</v>
      </c>
      <c r="G3" s="6">
        <f>'Data Sheet'!G56</f>
        <v>43921</v>
      </c>
      <c r="H3" s="6">
        <f>'Data Sheet'!H56</f>
        <v>44286</v>
      </c>
      <c r="I3" s="6">
        <f>'Data Sheet'!I56</f>
        <v>44651</v>
      </c>
      <c r="J3" s="6">
        <f>'Data Sheet'!J56</f>
        <v>45016</v>
      </c>
      <c r="K3" s="6">
        <f>'Data Sheet'!K56</f>
        <v>45382</v>
      </c>
    </row>
    <row r="4" ht="14.25" customHeight="1">
      <c r="A4" s="8" t="s">
        <v>29</v>
      </c>
      <c r="B4" s="17">
        <f>'Data Sheet'!B57</f>
        <v>25.3</v>
      </c>
      <c r="C4" s="17">
        <f>'Data Sheet'!C57</f>
        <v>25.3</v>
      </c>
      <c r="D4" s="17">
        <f>'Data Sheet'!D57</f>
        <v>27.72</v>
      </c>
      <c r="E4" s="17">
        <f>'Data Sheet'!E57</f>
        <v>27.72</v>
      </c>
      <c r="F4" s="17">
        <f>'Data Sheet'!F57</f>
        <v>27.72</v>
      </c>
      <c r="G4" s="17">
        <f>'Data Sheet'!G57</f>
        <v>27.72</v>
      </c>
      <c r="H4" s="17">
        <f>'Data Sheet'!H57</f>
        <v>27.72</v>
      </c>
      <c r="I4" s="17">
        <f>'Data Sheet'!I57</f>
        <v>27.72</v>
      </c>
      <c r="J4" s="17">
        <f>'Data Sheet'!J57</f>
        <v>27.72</v>
      </c>
      <c r="K4" s="17">
        <f>'Data Sheet'!K57</f>
        <v>27.72</v>
      </c>
    </row>
    <row r="5" ht="14.25" customHeight="1">
      <c r="A5" s="8" t="s">
        <v>30</v>
      </c>
      <c r="B5" s="17">
        <f>'Data Sheet'!B58</f>
        <v>539.48</v>
      </c>
      <c r="C5" s="17">
        <f>'Data Sheet'!C58</f>
        <v>583.81</v>
      </c>
      <c r="D5" s="17">
        <f>'Data Sheet'!D58</f>
        <v>701.4</v>
      </c>
      <c r="E5" s="17">
        <f>'Data Sheet'!E58</f>
        <v>723.97</v>
      </c>
      <c r="F5" s="17">
        <f>'Data Sheet'!F58</f>
        <v>738.51</v>
      </c>
      <c r="G5" s="17">
        <f>'Data Sheet'!G58</f>
        <v>745.15</v>
      </c>
      <c r="H5" s="17">
        <f>'Data Sheet'!H58</f>
        <v>754.33</v>
      </c>
      <c r="I5" s="17">
        <f>'Data Sheet'!I58</f>
        <v>838.04</v>
      </c>
      <c r="J5" s="17">
        <f>'Data Sheet'!J58</f>
        <v>923.73</v>
      </c>
      <c r="K5" s="17">
        <f>'Data Sheet'!K58</f>
        <v>1192.82</v>
      </c>
    </row>
    <row r="6" ht="14.25" customHeight="1">
      <c r="A6" s="8" t="s">
        <v>31</v>
      </c>
      <c r="B6" s="17">
        <f>'Data Sheet'!B59</f>
        <v>686.46</v>
      </c>
      <c r="C6" s="17">
        <f>'Data Sheet'!C59</f>
        <v>548.9</v>
      </c>
      <c r="D6" s="17">
        <f>'Data Sheet'!D59</f>
        <v>479.03</v>
      </c>
      <c r="E6" s="17">
        <f>'Data Sheet'!E59</f>
        <v>366.28</v>
      </c>
      <c r="F6" s="17">
        <f>'Data Sheet'!F59</f>
        <v>232.1</v>
      </c>
      <c r="G6" s="17">
        <f>'Data Sheet'!G59</f>
        <v>160.96</v>
      </c>
      <c r="H6" s="17">
        <f>'Data Sheet'!H59</f>
        <v>69.94</v>
      </c>
      <c r="I6" s="17">
        <f>'Data Sheet'!I59</f>
        <v>62.61</v>
      </c>
      <c r="J6" s="17">
        <f>'Data Sheet'!J59</f>
        <v>86.02</v>
      </c>
      <c r="K6" s="17">
        <f>'Data Sheet'!K59</f>
        <v>67.46</v>
      </c>
    </row>
    <row r="7" ht="14.25" customHeight="1">
      <c r="A7" s="8" t="s">
        <v>32</v>
      </c>
      <c r="B7" s="17">
        <f>'Data Sheet'!B60</f>
        <v>310.72</v>
      </c>
      <c r="C7" s="17">
        <f>'Data Sheet'!C60</f>
        <v>276.89</v>
      </c>
      <c r="D7" s="17">
        <f>'Data Sheet'!D60</f>
        <v>258.38</v>
      </c>
      <c r="E7" s="17">
        <f>'Data Sheet'!E60</f>
        <v>223.55</v>
      </c>
      <c r="F7" s="17">
        <f>'Data Sheet'!F60</f>
        <v>162.38</v>
      </c>
      <c r="G7" s="17">
        <f>'Data Sheet'!G60</f>
        <v>168.69</v>
      </c>
      <c r="H7" s="17">
        <f>'Data Sheet'!H60</f>
        <v>184.27</v>
      </c>
      <c r="I7" s="17">
        <f>'Data Sheet'!I60</f>
        <v>204.24</v>
      </c>
      <c r="J7" s="17">
        <f>'Data Sheet'!J60</f>
        <v>256.72</v>
      </c>
      <c r="K7" s="17">
        <f>'Data Sheet'!K60</f>
        <v>366.1</v>
      </c>
    </row>
    <row r="8" ht="14.25" customHeight="1">
      <c r="A8" s="2" t="s">
        <v>33</v>
      </c>
      <c r="B8" s="18">
        <f>'Data Sheet'!B61</f>
        <v>1561.96</v>
      </c>
      <c r="C8" s="18">
        <f>'Data Sheet'!C61</f>
        <v>1434.9</v>
      </c>
      <c r="D8" s="18">
        <f>'Data Sheet'!D61</f>
        <v>1466.53</v>
      </c>
      <c r="E8" s="18">
        <f>'Data Sheet'!E61</f>
        <v>1341.52</v>
      </c>
      <c r="F8" s="18">
        <f>'Data Sheet'!F61</f>
        <v>1160.71</v>
      </c>
      <c r="G8" s="18">
        <f>'Data Sheet'!G61</f>
        <v>1102.52</v>
      </c>
      <c r="H8" s="18">
        <f>'Data Sheet'!H61</f>
        <v>1036.26</v>
      </c>
      <c r="I8" s="18">
        <f>'Data Sheet'!I61</f>
        <v>1132.61</v>
      </c>
      <c r="J8" s="18">
        <f>'Data Sheet'!J61</f>
        <v>1294.19</v>
      </c>
      <c r="K8" s="18">
        <f>'Data Sheet'!K61</f>
        <v>1654.1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18"/>
      <c r="C9" s="18"/>
      <c r="D9" s="18"/>
      <c r="E9" s="18"/>
      <c r="F9" s="18"/>
      <c r="G9" s="18"/>
      <c r="H9" s="18"/>
      <c r="I9" s="18"/>
      <c r="J9" s="18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8" t="s">
        <v>34</v>
      </c>
      <c r="B10" s="17">
        <f>'Data Sheet'!B62</f>
        <v>456.4</v>
      </c>
      <c r="C10" s="17">
        <f>'Data Sheet'!C62</f>
        <v>415.4</v>
      </c>
      <c r="D10" s="17">
        <f>'Data Sheet'!D62</f>
        <v>416.88</v>
      </c>
      <c r="E10" s="17">
        <f>'Data Sheet'!E62</f>
        <v>363.43</v>
      </c>
      <c r="F10" s="17">
        <f>'Data Sheet'!F62</f>
        <v>320.7</v>
      </c>
      <c r="G10" s="17">
        <f>'Data Sheet'!G62</f>
        <v>303.69</v>
      </c>
      <c r="H10" s="17">
        <f>'Data Sheet'!H62</f>
        <v>279.01</v>
      </c>
      <c r="I10" s="17">
        <f>'Data Sheet'!I62</f>
        <v>264.51</v>
      </c>
      <c r="J10" s="17">
        <f>'Data Sheet'!J62</f>
        <v>320.4</v>
      </c>
      <c r="K10" s="17">
        <f>'Data Sheet'!K62</f>
        <v>354.24</v>
      </c>
    </row>
    <row r="11" ht="14.25" customHeight="1">
      <c r="A11" s="8" t="s">
        <v>35</v>
      </c>
      <c r="B11" s="17">
        <f>'Data Sheet'!B63</f>
        <v>49.38</v>
      </c>
      <c r="C11" s="17">
        <f>'Data Sheet'!C63</f>
        <v>48.07</v>
      </c>
      <c r="D11" s="17">
        <f>'Data Sheet'!D63</f>
        <v>33.36</v>
      </c>
      <c r="E11" s="17">
        <f>'Data Sheet'!E63</f>
        <v>26.01</v>
      </c>
      <c r="F11" s="17">
        <f>'Data Sheet'!F63</f>
        <v>37.21</v>
      </c>
      <c r="G11" s="17">
        <f>'Data Sheet'!G63</f>
        <v>26.96</v>
      </c>
      <c r="H11" s="17">
        <f>'Data Sheet'!H63</f>
        <v>42.86</v>
      </c>
      <c r="I11" s="17">
        <f>'Data Sheet'!I63</f>
        <v>81.33</v>
      </c>
      <c r="J11" s="17">
        <f>'Data Sheet'!J63</f>
        <v>50.09</v>
      </c>
      <c r="K11" s="17">
        <f>'Data Sheet'!K63</f>
        <v>20.4</v>
      </c>
    </row>
    <row r="12" ht="14.25" customHeight="1">
      <c r="A12" s="8" t="s">
        <v>36</v>
      </c>
      <c r="B12" s="17">
        <f>'Data Sheet'!B64</f>
        <v>1.99</v>
      </c>
      <c r="C12" s="17">
        <f>'Data Sheet'!C64</f>
        <v>7.7</v>
      </c>
      <c r="D12" s="17">
        <f>'Data Sheet'!D64</f>
        <v>7.85</v>
      </c>
      <c r="E12" s="17">
        <f>'Data Sheet'!E64</f>
        <v>4.73</v>
      </c>
      <c r="F12" s="17">
        <f>'Data Sheet'!F64</f>
        <v>5.31</v>
      </c>
      <c r="G12" s="17">
        <f>'Data Sheet'!G64</f>
        <v>6.06</v>
      </c>
      <c r="H12" s="17">
        <f>'Data Sheet'!H64</f>
        <v>7.07</v>
      </c>
      <c r="I12" s="17">
        <f>'Data Sheet'!I64</f>
        <v>7.73</v>
      </c>
      <c r="J12" s="17">
        <f>'Data Sheet'!J64</f>
        <v>8.73</v>
      </c>
      <c r="K12" s="17">
        <f>'Data Sheet'!K64</f>
        <v>108.22</v>
      </c>
    </row>
    <row r="13" ht="14.25" customHeight="1">
      <c r="A13" s="8" t="s">
        <v>37</v>
      </c>
      <c r="B13" s="17">
        <f>'Data Sheet'!B65</f>
        <v>1054.19</v>
      </c>
      <c r="C13" s="17">
        <f>'Data Sheet'!C65</f>
        <v>963.73</v>
      </c>
      <c r="D13" s="17">
        <f>'Data Sheet'!D65</f>
        <v>1008.44</v>
      </c>
      <c r="E13" s="17">
        <f>'Data Sheet'!E65</f>
        <v>947.35</v>
      </c>
      <c r="F13" s="17">
        <f>'Data Sheet'!F65</f>
        <v>797.49</v>
      </c>
      <c r="G13" s="17">
        <f>'Data Sheet'!G65</f>
        <v>765.81</v>
      </c>
      <c r="H13" s="17">
        <f>'Data Sheet'!H65</f>
        <v>707.32</v>
      </c>
      <c r="I13" s="17">
        <f>'Data Sheet'!I65</f>
        <v>779.04</v>
      </c>
      <c r="J13" s="17">
        <f>'Data Sheet'!J65</f>
        <v>914.97</v>
      </c>
      <c r="K13" s="17">
        <f>'Data Sheet'!K65</f>
        <v>1171.24</v>
      </c>
    </row>
    <row r="14" ht="14.25" customHeight="1">
      <c r="A14" s="2" t="s">
        <v>33</v>
      </c>
      <c r="B14" s="17">
        <f>'Data Sheet'!B66</f>
        <v>1561.96</v>
      </c>
      <c r="C14" s="17">
        <f>'Data Sheet'!C66</f>
        <v>1434.9</v>
      </c>
      <c r="D14" s="17">
        <f>'Data Sheet'!D66</f>
        <v>1466.53</v>
      </c>
      <c r="E14" s="17">
        <f>'Data Sheet'!E66</f>
        <v>1341.52</v>
      </c>
      <c r="F14" s="17">
        <f>'Data Sheet'!F66</f>
        <v>1160.71</v>
      </c>
      <c r="G14" s="17">
        <f>'Data Sheet'!G66</f>
        <v>1102.52</v>
      </c>
      <c r="H14" s="17">
        <f>'Data Sheet'!H66</f>
        <v>1036.26</v>
      </c>
      <c r="I14" s="17">
        <f>'Data Sheet'!I66</f>
        <v>1132.61</v>
      </c>
      <c r="J14" s="17">
        <f>'Data Sheet'!J66</f>
        <v>1294.19</v>
      </c>
      <c r="K14" s="17">
        <f>'Data Sheet'!K66</f>
        <v>1654.1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B15" s="9"/>
      <c r="C15" s="9"/>
      <c r="D15" s="9"/>
      <c r="E15" s="9"/>
      <c r="F15" s="9"/>
      <c r="G15" s="9"/>
      <c r="H15" s="9"/>
      <c r="I15" s="9"/>
      <c r="J15" s="9"/>
      <c r="K15" s="9"/>
    </row>
    <row r="16" ht="14.25" customHeight="1">
      <c r="A16" s="8" t="s">
        <v>38</v>
      </c>
      <c r="B16" s="9">
        <f t="shared" ref="B16:K16" si="1">B13-B7</f>
        <v>743.47</v>
      </c>
      <c r="C16" s="9">
        <f t="shared" si="1"/>
        <v>686.84</v>
      </c>
      <c r="D16" s="9">
        <f t="shared" si="1"/>
        <v>750.06</v>
      </c>
      <c r="E16" s="9">
        <f t="shared" si="1"/>
        <v>723.8</v>
      </c>
      <c r="F16" s="9">
        <f t="shared" si="1"/>
        <v>635.11</v>
      </c>
      <c r="G16" s="9">
        <f t="shared" si="1"/>
        <v>597.12</v>
      </c>
      <c r="H16" s="9">
        <f t="shared" si="1"/>
        <v>523.05</v>
      </c>
      <c r="I16" s="9">
        <f t="shared" si="1"/>
        <v>574.8</v>
      </c>
      <c r="J16" s="9">
        <f t="shared" si="1"/>
        <v>658.25</v>
      </c>
      <c r="K16" s="9">
        <f t="shared" si="1"/>
        <v>805.14</v>
      </c>
    </row>
    <row r="17" ht="14.25" customHeight="1">
      <c r="A17" s="8" t="s">
        <v>39</v>
      </c>
      <c r="B17" s="9">
        <f>'Data Sheet'!B67</f>
        <v>393.64</v>
      </c>
      <c r="C17" s="9">
        <f>'Data Sheet'!C67</f>
        <v>426.62</v>
      </c>
      <c r="D17" s="9">
        <f>'Data Sheet'!D67</f>
        <v>471.03</v>
      </c>
      <c r="E17" s="9">
        <f>'Data Sheet'!E67</f>
        <v>453.18</v>
      </c>
      <c r="F17" s="9">
        <f>'Data Sheet'!F67</f>
        <v>363.09</v>
      </c>
      <c r="G17" s="9">
        <f>'Data Sheet'!G67</f>
        <v>305.16</v>
      </c>
      <c r="H17" s="9">
        <f>'Data Sheet'!H67</f>
        <v>253.72</v>
      </c>
      <c r="I17" s="9">
        <f>'Data Sheet'!I67</f>
        <v>292.66</v>
      </c>
      <c r="J17" s="9">
        <f>'Data Sheet'!J67</f>
        <v>312.01</v>
      </c>
      <c r="K17" s="9">
        <f>'Data Sheet'!K67</f>
        <v>382.13</v>
      </c>
    </row>
    <row r="18" ht="14.25" customHeight="1">
      <c r="A18" s="8" t="s">
        <v>40</v>
      </c>
      <c r="B18" s="9">
        <f>'Data Sheet'!B68</f>
        <v>517.89</v>
      </c>
      <c r="C18" s="9">
        <f>'Data Sheet'!C68</f>
        <v>395.88</v>
      </c>
      <c r="D18" s="9">
        <f>'Data Sheet'!D68</f>
        <v>407.72</v>
      </c>
      <c r="E18" s="9">
        <f>'Data Sheet'!E68</f>
        <v>367.46</v>
      </c>
      <c r="F18" s="9">
        <f>'Data Sheet'!F68</f>
        <v>324.85</v>
      </c>
      <c r="G18" s="9">
        <f>'Data Sheet'!G68</f>
        <v>304.32</v>
      </c>
      <c r="H18" s="9">
        <f>'Data Sheet'!H68</f>
        <v>289.86</v>
      </c>
      <c r="I18" s="9">
        <f>'Data Sheet'!I68</f>
        <v>307.03</v>
      </c>
      <c r="J18" s="9">
        <f>'Data Sheet'!J68</f>
        <v>336.25</v>
      </c>
      <c r="K18" s="9">
        <f>'Data Sheet'!K68</f>
        <v>432.72</v>
      </c>
    </row>
    <row r="19" ht="14.25" customHeight="1"/>
    <row r="20" ht="14.25" customHeight="1">
      <c r="A20" s="8" t="s">
        <v>41</v>
      </c>
      <c r="B20" s="9">
        <f>IF('Profit &amp; Loss'!B4&gt;0,'Balance Sheet'!B17/('Profit &amp; Loss'!B4/365),0)</f>
        <v>106.4853848</v>
      </c>
      <c r="C20" s="9">
        <f>IF('Profit &amp; Loss'!C4&gt;0,'Balance Sheet'!C17/('Profit &amp; Loss'!C4/365),0)</f>
        <v>119.9136743</v>
      </c>
      <c r="D20" s="9">
        <f>IF('Profit &amp; Loss'!D4&gt;0,'Balance Sheet'!D17/('Profit &amp; Loss'!D4/365),0)</f>
        <v>121.547965</v>
      </c>
      <c r="E20" s="9">
        <f>IF('Profit &amp; Loss'!E4&gt;0,'Balance Sheet'!E17/('Profit &amp; Loss'!E4/365),0)</f>
        <v>103.1875659</v>
      </c>
      <c r="F20" s="9">
        <f>IF('Profit &amp; Loss'!F4&gt;0,'Balance Sheet'!F17/('Profit &amp; Loss'!F4/365),0)</f>
        <v>104.6922694</v>
      </c>
      <c r="G20" s="9">
        <f>IF('Profit &amp; Loss'!G4&gt;0,'Balance Sheet'!G17/('Profit &amp; Loss'!G4/365),0)</f>
        <v>102.020004</v>
      </c>
      <c r="H20" s="9">
        <f>IF('Profit &amp; Loss'!H4&gt;0,'Balance Sheet'!H17/('Profit &amp; Loss'!H4/365),0)</f>
        <v>101.5391869</v>
      </c>
      <c r="I20" s="9">
        <f>IF('Profit &amp; Loss'!I4&gt;0,'Balance Sheet'!I17/('Profit &amp; Loss'!I4/365),0)</f>
        <v>86.40999507</v>
      </c>
      <c r="J20" s="9">
        <f>IF('Profit &amp; Loss'!J4&gt;0,'Balance Sheet'!J17/('Profit &amp; Loss'!J4/365),0)</f>
        <v>83.206922</v>
      </c>
      <c r="K20" s="9">
        <f>IF('Profit &amp; Loss'!K4&gt;0,'Balance Sheet'!K17/('Profit &amp; Loss'!K4/365),0)</f>
        <v>62.45184386</v>
      </c>
    </row>
    <row r="21" ht="14.25" customHeight="1">
      <c r="A21" s="8" t="s">
        <v>42</v>
      </c>
      <c r="B21" s="9">
        <f>IF('Balance Sheet'!B18&gt;0,'Profit &amp; Loss'!B4/'Balance Sheet'!B18,0)</f>
        <v>2.605340903</v>
      </c>
      <c r="C21" s="9">
        <f>IF('Balance Sheet'!C18&gt;0,'Profit &amp; Loss'!C4/'Balance Sheet'!C18,0)</f>
        <v>3.280211175</v>
      </c>
      <c r="D21" s="9">
        <f>IF('Balance Sheet'!D18&gt;0,'Profit &amp; Loss'!D4/'Balance Sheet'!D18,0)</f>
        <v>3.469219072</v>
      </c>
      <c r="E21" s="9">
        <f>IF('Balance Sheet'!E18&gt;0,'Profit &amp; Loss'!E4/'Balance Sheet'!E18,0)</f>
        <v>4.362406793</v>
      </c>
      <c r="F21" s="9">
        <f>IF('Balance Sheet'!F18&gt;0,'Profit &amp; Loss'!F4/'Balance Sheet'!F18,0)</f>
        <v>3.896813914</v>
      </c>
      <c r="G21" s="9">
        <f>IF('Balance Sheet'!G18&gt;0,'Profit &amp; Loss'!G4/'Balance Sheet'!G18,0)</f>
        <v>3.587605152</v>
      </c>
      <c r="H21" s="9">
        <f>IF('Balance Sheet'!H18&gt;0,'Profit &amp; Loss'!H4/'Balance Sheet'!H18,0)</f>
        <v>3.14648451</v>
      </c>
      <c r="I21" s="9">
        <f>IF('Balance Sheet'!I18&gt;0,'Profit &amp; Loss'!I4/'Balance Sheet'!I18,0)</f>
        <v>4.026349217</v>
      </c>
      <c r="J21" s="9">
        <f>IF('Balance Sheet'!J18&gt;0,'Profit &amp; Loss'!J4/'Balance Sheet'!J18,0)</f>
        <v>4.070423792</v>
      </c>
      <c r="K21" s="9">
        <f>IF('Balance Sheet'!K18&gt;0,'Profit &amp; Loss'!K4/'Balance Sheet'!K18,0)</f>
        <v>5.161212793</v>
      </c>
    </row>
    <row r="22" ht="14.25" customHeight="1"/>
    <row r="23" ht="14.25" customHeight="1">
      <c r="A23" s="2" t="s">
        <v>43</v>
      </c>
      <c r="B23" s="15">
        <f>IF(SUM('Balance Sheet'!B4:B5)&gt;0,'Profit &amp; Loss'!B12/SUM('Balance Sheet'!B4:B5),"")</f>
        <v>0.02517794539</v>
      </c>
      <c r="C23" s="15">
        <f>IF(SUM('Balance Sheet'!C4:C5)&gt;0,'Profit &amp; Loss'!C12/SUM('Balance Sheet'!C4:C5),"")</f>
        <v>0.02446191985</v>
      </c>
      <c r="D23" s="15">
        <f>IF(SUM('Balance Sheet'!D4:D5)&gt;0,'Profit &amp; Loss'!D12/SUM('Balance Sheet'!D4:D5),"")</f>
        <v>0.05302282203</v>
      </c>
      <c r="E23" s="15">
        <f>IF(SUM('Balance Sheet'!E4:E5)&gt;0,'Profit &amp; Loss'!E12/SUM('Balance Sheet'!E4:E5),"")</f>
        <v>0.04207851641</v>
      </c>
      <c r="F23" s="15">
        <f>IF(SUM('Balance Sheet'!F4:F5)&gt;0,'Profit &amp; Loss'!F12/SUM('Balance Sheet'!F4:F5),"")</f>
        <v>0.03619017788</v>
      </c>
      <c r="G23" s="15">
        <f>IF(SUM('Balance Sheet'!G4:G5)&gt;0,'Profit &amp; Loss'!G12/SUM('Balance Sheet'!G4:G5),"")</f>
        <v>0.03392549847</v>
      </c>
      <c r="H23" s="15">
        <f>IF(SUM('Balance Sheet'!H4:H5)&gt;0,'Profit &amp; Loss'!H12/SUM('Balance Sheet'!H4:H5),"")</f>
        <v>0.01755642222</v>
      </c>
      <c r="I23" s="15">
        <f>IF(SUM('Balance Sheet'!I4:I5)&gt;0,'Profit &amp; Loss'!I12/SUM('Balance Sheet'!I4:I5),"")</f>
        <v>0.1084596193</v>
      </c>
      <c r="J23" s="15">
        <f>IF(SUM('Balance Sheet'!J4:J5)&gt;0,'Profit &amp; Loss'!J12/SUM('Balance Sheet'!J4:J5),"")</f>
        <v>0.103683851</v>
      </c>
      <c r="K23" s="15">
        <f>IF(SUM('Balance Sheet'!K4:K5)&gt;0,'Profit &amp; Loss'!K12/SUM('Balance Sheet'!K4:K5),"")</f>
        <v>0.2301358415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 t="s">
        <v>44</v>
      </c>
      <c r="B24" s="15"/>
      <c r="C24" s="15">
        <f>IF((B4+B5+B6+C4+C5+C6)&gt;0,('Profit &amp; Loss'!C10+'Profit &amp; Loss'!C9)*2/(B4+B5+B6+C4+C5+C6),"")</f>
        <v>0.0792030715</v>
      </c>
      <c r="D24" s="15">
        <f>IF((C4+C5+C6+D4+D5+D6)&gt;0,('Profit &amp; Loss'!D10+'Profit &amp; Loss'!D9)*2/(C4+C5+C6+D4+D5+D6),"")</f>
        <v>0.08504074112</v>
      </c>
      <c r="E24" s="15">
        <f>IF((D4+D5+D6+E4+E5+E6)&gt;0,('Profit &amp; Loss'!E10+'Profit &amp; Loss'!E9)*2/(D4+D5+D6+E4+E5+E6),"")</f>
        <v>0.08230013929</v>
      </c>
      <c r="F24" s="15">
        <f>IF((E4+E5+E6+F4+F5+F6)&gt;0,('Profit &amp; Loss'!F10+'Profit &amp; Loss'!F9)*2/(E4+E5+E6+F4+F5+F6),"")</f>
        <v>0.06940414875</v>
      </c>
      <c r="G24" s="15">
        <f>IF((F4+F5+F6+G4+G5+G6)&gt;0,('Profit &amp; Loss'!G10+'Profit &amp; Loss'!G9)*2/(F4+F5+F6+G4+G5+G6),"")</f>
        <v>0.06447706194</v>
      </c>
      <c r="H24" s="15">
        <f>IF((G4+G5+G6+H4+H5+H6)&gt;0,('Profit &amp; Loss'!H10+'Profit &amp; Loss'!H9)*2/(G4+G5+G6+H4+H5+H6),"")</f>
        <v>0.03822333718</v>
      </c>
      <c r="I24" s="15">
        <f>IF((H4+H5+H6+I4+I5+I6)&gt;0,('Profit &amp; Loss'!I10+'Profit &amp; Loss'!I9)*2/(H4+H5+H6+I4+I5+I6),"")</f>
        <v>0.1459143095</v>
      </c>
      <c r="J24" s="15">
        <f>IF((I4+I5+I6+J4+J5+J6)&gt;0,('Profit &amp; Loss'!J10+'Profit &amp; Loss'!J9)*2/(I4+I5+I6+J4+J5+J6),"")</f>
        <v>0.1387193261</v>
      </c>
      <c r="K24" s="15">
        <f>IF((J4+J5+J6+K4+K5+K6)&gt;0,('Profit &amp; Loss'!K10+'Profit &amp; Loss'!K9)*2/(J4+J5+J6+K4+K5+K6),"")</f>
        <v>0.3351752549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/>
    <row r="26" ht="14.25" customHeight="1">
      <c r="C26" s="9">
        <f t="shared" ref="C26:K26" si="2">C16-B16</f>
        <v>-56.63</v>
      </c>
      <c r="D26" s="9">
        <f t="shared" si="2"/>
        <v>63.22</v>
      </c>
      <c r="E26" s="9">
        <f t="shared" si="2"/>
        <v>-26.26</v>
      </c>
      <c r="F26" s="9">
        <f t="shared" si="2"/>
        <v>-88.69</v>
      </c>
      <c r="G26" s="9">
        <f t="shared" si="2"/>
        <v>-37.99</v>
      </c>
      <c r="H26" s="9">
        <f t="shared" si="2"/>
        <v>-74.07</v>
      </c>
      <c r="I26" s="9">
        <f t="shared" si="2"/>
        <v>51.75</v>
      </c>
      <c r="J26" s="9">
        <f t="shared" si="2"/>
        <v>83.45</v>
      </c>
      <c r="K26" s="9">
        <f t="shared" si="2"/>
        <v>146.89</v>
      </c>
      <c r="L26" s="9">
        <f>AVERAGE(D26:K26)</f>
        <v>14.7875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gridLines="1"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6.71"/>
    <col customWidth="1" min="2" max="11" width="13.43"/>
    <col customWidth="1" min="12" max="26" width="8.71"/>
  </cols>
  <sheetData>
    <row r="1" ht="14.25" customHeight="1">
      <c r="A1" s="1" t="str">
        <f>'Balance Sheet'!A1</f>
        <v>HBL ENGINEERING LTD</v>
      </c>
      <c r="B1" s="2"/>
      <c r="C1" s="2"/>
      <c r="D1" s="2"/>
      <c r="E1" s="3" t="str">
        <f>UPDATE</f>
        <v/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/>
    <row r="3" ht="14.25" customHeight="1">
      <c r="A3" s="5" t="s">
        <v>0</v>
      </c>
      <c r="B3" s="6">
        <f>'Data Sheet'!B81</f>
        <v>42094</v>
      </c>
      <c r="C3" s="6">
        <f>'Data Sheet'!C81</f>
        <v>42460</v>
      </c>
      <c r="D3" s="6">
        <f>'Data Sheet'!D81</f>
        <v>42825</v>
      </c>
      <c r="E3" s="6">
        <f>'Data Sheet'!E81</f>
        <v>43190</v>
      </c>
      <c r="F3" s="6">
        <f>'Data Sheet'!F81</f>
        <v>43555</v>
      </c>
      <c r="G3" s="6">
        <f>'Data Sheet'!G81</f>
        <v>43921</v>
      </c>
      <c r="H3" s="6">
        <f>'Data Sheet'!H81</f>
        <v>44286</v>
      </c>
      <c r="I3" s="6">
        <f>'Data Sheet'!I81</f>
        <v>44651</v>
      </c>
      <c r="J3" s="6">
        <f>'Data Sheet'!J81</f>
        <v>45016</v>
      </c>
      <c r="K3" s="6">
        <f>'Data Sheet'!K81</f>
        <v>45382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 t="s">
        <v>45</v>
      </c>
      <c r="B4" s="1">
        <f>'Data Sheet'!B82</f>
        <v>78.89</v>
      </c>
      <c r="C4" s="1">
        <f>'Data Sheet'!C82</f>
        <v>157.76</v>
      </c>
      <c r="D4" s="1">
        <f>'Data Sheet'!D82</f>
        <v>43.2</v>
      </c>
      <c r="E4" s="1">
        <f>'Data Sheet'!E82</f>
        <v>158.76</v>
      </c>
      <c r="F4" s="1">
        <f>'Data Sheet'!F82</f>
        <v>167.07</v>
      </c>
      <c r="G4" s="1">
        <f>'Data Sheet'!G82</f>
        <v>148.78</v>
      </c>
      <c r="H4" s="1">
        <f>'Data Sheet'!H82</f>
        <v>121.12</v>
      </c>
      <c r="I4" s="1">
        <f>'Data Sheet'!I82</f>
        <v>62.47</v>
      </c>
      <c r="J4" s="1">
        <f>'Data Sheet'!J82</f>
        <v>122.44</v>
      </c>
      <c r="K4" s="1">
        <f>'Data Sheet'!K82</f>
        <v>273.1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8" t="s">
        <v>46</v>
      </c>
      <c r="B5" s="9">
        <f>'Data Sheet'!B83</f>
        <v>-12.73</v>
      </c>
      <c r="C5" s="9">
        <f>'Data Sheet'!C83</f>
        <v>-10.2</v>
      </c>
      <c r="D5" s="9">
        <f>'Data Sheet'!D83</f>
        <v>60.23</v>
      </c>
      <c r="E5" s="9">
        <f>'Data Sheet'!E83</f>
        <v>-7.97</v>
      </c>
      <c r="F5" s="9">
        <f>'Data Sheet'!F83</f>
        <v>0.92</v>
      </c>
      <c r="G5" s="9">
        <f>'Data Sheet'!G83</f>
        <v>-5.73</v>
      </c>
      <c r="H5" s="9">
        <f>'Data Sheet'!H83</f>
        <v>-32.02</v>
      </c>
      <c r="I5" s="9">
        <f>'Data Sheet'!I83</f>
        <v>-16.77</v>
      </c>
      <c r="J5" s="9">
        <f>'Data Sheet'!J83</f>
        <v>-49.71</v>
      </c>
      <c r="K5" s="9">
        <f>'Data Sheet'!K83</f>
        <v>-139.38</v>
      </c>
    </row>
    <row r="6" ht="14.25" customHeight="1">
      <c r="A6" s="8" t="s">
        <v>47</v>
      </c>
      <c r="B6" s="9">
        <f>'Data Sheet'!B84</f>
        <v>-66.23</v>
      </c>
      <c r="C6" s="9">
        <f>'Data Sheet'!C84</f>
        <v>-152.55</v>
      </c>
      <c r="D6" s="9">
        <f>'Data Sheet'!D84</f>
        <v>-114.38</v>
      </c>
      <c r="E6" s="9">
        <f>'Data Sheet'!E84</f>
        <v>-149.5</v>
      </c>
      <c r="F6" s="9">
        <f>'Data Sheet'!F84</f>
        <v>-163.41</v>
      </c>
      <c r="G6" s="9">
        <f>'Data Sheet'!G84</f>
        <v>-114.04</v>
      </c>
      <c r="H6" s="9">
        <f>'Data Sheet'!H84</f>
        <v>-103.55</v>
      </c>
      <c r="I6" s="9">
        <f>'Data Sheet'!I84</f>
        <v>-22.32</v>
      </c>
      <c r="J6" s="9">
        <f>'Data Sheet'!J84</f>
        <v>9.56</v>
      </c>
      <c r="K6" s="9">
        <f>'Data Sheet'!K84</f>
        <v>-42.27</v>
      </c>
    </row>
    <row r="7" ht="14.25" customHeight="1">
      <c r="A7" s="2" t="s">
        <v>48</v>
      </c>
      <c r="B7" s="1">
        <f>'Data Sheet'!B85</f>
        <v>-0.07</v>
      </c>
      <c r="C7" s="1">
        <f>'Data Sheet'!C85</f>
        <v>-4.99</v>
      </c>
      <c r="D7" s="1">
        <f>'Data Sheet'!D85</f>
        <v>-10.94</v>
      </c>
      <c r="E7" s="1">
        <f>'Data Sheet'!E85</f>
        <v>1.29</v>
      </c>
      <c r="F7" s="1">
        <f>'Data Sheet'!F85</f>
        <v>4.58</v>
      </c>
      <c r="G7" s="1">
        <f>'Data Sheet'!G85</f>
        <v>29.01</v>
      </c>
      <c r="H7" s="1">
        <f>'Data Sheet'!H85</f>
        <v>-14.45</v>
      </c>
      <c r="I7" s="1">
        <f>'Data Sheet'!I85</f>
        <v>23.38</v>
      </c>
      <c r="J7" s="1">
        <f>'Data Sheet'!J85</f>
        <v>82.28</v>
      </c>
      <c r="K7" s="1">
        <f>'Data Sheet'!K85</f>
        <v>91.45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B8" s="9"/>
      <c r="C8" s="9"/>
      <c r="D8" s="9"/>
      <c r="E8" s="9"/>
      <c r="F8" s="9"/>
      <c r="G8" s="9"/>
      <c r="H8" s="9"/>
      <c r="I8" s="9"/>
      <c r="J8" s="9"/>
      <c r="K8" s="9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gridLines="1"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7.71"/>
    <col customWidth="1" min="2" max="11" width="13.43"/>
    <col customWidth="1" min="12" max="26" width="8.71"/>
  </cols>
  <sheetData>
    <row r="1" ht="14.25" customHeight="1">
      <c r="A1" s="1" t="s">
        <v>49</v>
      </c>
      <c r="B1" s="1" t="s">
        <v>50</v>
      </c>
      <c r="C1" s="1"/>
      <c r="D1" s="1"/>
      <c r="E1" s="19" t="str">
        <f>IF(B2&lt;&gt;B3, "A NEW VERSION OF THE WORKSHEET IS AVAILABLE", "")</f>
        <v/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 t="s">
        <v>51</v>
      </c>
      <c r="B2" s="9">
        <v>2.1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1" t="s">
        <v>52</v>
      </c>
      <c r="B3" s="9">
        <v>2.1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1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1" t="s">
        <v>53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9" t="s">
        <v>54</v>
      </c>
      <c r="B6" s="9">
        <f>IF(B9&gt;0, B9/B8, 0)</f>
        <v>27.70067607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9" t="s">
        <v>55</v>
      </c>
      <c r="B7" s="8">
        <v>1.0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>
      <c r="A8" s="9" t="s">
        <v>56</v>
      </c>
      <c r="B8" s="8">
        <v>517.7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9" t="s">
        <v>57</v>
      </c>
      <c r="B9" s="8">
        <v>14340.64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4.2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4.2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1" t="s">
        <v>58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20" t="s">
        <v>59</v>
      </c>
      <c r="B16" s="6">
        <v>42094.0</v>
      </c>
      <c r="C16" s="6">
        <v>42460.0</v>
      </c>
      <c r="D16" s="6">
        <v>42825.0</v>
      </c>
      <c r="E16" s="6">
        <v>43190.0</v>
      </c>
      <c r="F16" s="6">
        <v>43555.0</v>
      </c>
      <c r="G16" s="6">
        <v>43921.0</v>
      </c>
      <c r="H16" s="6">
        <v>44286.0</v>
      </c>
      <c r="I16" s="6">
        <v>44651.0</v>
      </c>
      <c r="J16" s="6">
        <v>45016.0</v>
      </c>
      <c r="K16" s="6">
        <v>45382.0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9" t="s">
        <v>4</v>
      </c>
      <c r="B17" s="8">
        <v>1349.28</v>
      </c>
      <c r="C17" s="8">
        <v>1298.57</v>
      </c>
      <c r="D17" s="8">
        <v>1414.47</v>
      </c>
      <c r="E17" s="8">
        <v>1603.01</v>
      </c>
      <c r="F17" s="8">
        <v>1265.88</v>
      </c>
      <c r="G17" s="8">
        <v>1091.78</v>
      </c>
      <c r="H17" s="8">
        <v>912.04</v>
      </c>
      <c r="I17" s="8">
        <v>1236.21</v>
      </c>
      <c r="J17" s="8">
        <v>1368.68</v>
      </c>
      <c r="K17" s="8">
        <v>2233.36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4.25" customHeight="1">
      <c r="A18" s="9" t="s">
        <v>60</v>
      </c>
      <c r="B18" s="8">
        <v>768.91</v>
      </c>
      <c r="C18" s="8">
        <v>770.36</v>
      </c>
      <c r="D18" s="8">
        <v>898.26</v>
      </c>
      <c r="E18" s="8">
        <v>1029.99</v>
      </c>
      <c r="F18" s="8">
        <v>809.02</v>
      </c>
      <c r="G18" s="8">
        <v>677.72</v>
      </c>
      <c r="H18" s="8">
        <v>555.67</v>
      </c>
      <c r="I18" s="8">
        <v>760.64</v>
      </c>
      <c r="J18" s="8">
        <v>832.09</v>
      </c>
      <c r="K18" s="8">
        <v>1208.52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9" t="s">
        <v>61</v>
      </c>
      <c r="B19" s="8">
        <v>-66.12</v>
      </c>
      <c r="C19" s="8">
        <v>-9.75</v>
      </c>
      <c r="D19" s="8">
        <v>12.09</v>
      </c>
      <c r="E19" s="8">
        <v>-34.88</v>
      </c>
      <c r="F19" s="8">
        <v>-6.67</v>
      </c>
      <c r="G19" s="8">
        <v>-9.53</v>
      </c>
      <c r="H19" s="8">
        <v>-7.29</v>
      </c>
      <c r="I19" s="8">
        <v>7.48</v>
      </c>
      <c r="J19" s="8">
        <v>-0.64</v>
      </c>
      <c r="K19" s="8">
        <v>58.79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9" t="s">
        <v>62</v>
      </c>
      <c r="B20" s="8">
        <v>58.46</v>
      </c>
      <c r="C20" s="8">
        <v>51.62</v>
      </c>
      <c r="D20" s="8">
        <v>52.81</v>
      </c>
      <c r="E20" s="8">
        <v>61.88</v>
      </c>
      <c r="F20" s="8">
        <v>53.55</v>
      </c>
      <c r="G20" s="8">
        <v>45.64</v>
      </c>
      <c r="H20" s="8">
        <v>36.53</v>
      </c>
      <c r="I20" s="8">
        <v>42.44</v>
      </c>
      <c r="J20" s="8">
        <v>49.02</v>
      </c>
      <c r="K20" s="8">
        <v>62.17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4.25" customHeight="1">
      <c r="A21" s="9" t="s">
        <v>63</v>
      </c>
      <c r="B21" s="8">
        <v>103.62</v>
      </c>
      <c r="C21" s="8">
        <v>116.46</v>
      </c>
      <c r="D21" s="8">
        <v>123.38</v>
      </c>
      <c r="E21" s="8">
        <v>132.4</v>
      </c>
      <c r="F21" s="8">
        <v>104.71</v>
      </c>
      <c r="G21" s="8">
        <v>97.6</v>
      </c>
      <c r="H21" s="8">
        <v>88.08</v>
      </c>
      <c r="I21" s="8">
        <v>111.08</v>
      </c>
      <c r="J21" s="8">
        <v>119.89</v>
      </c>
      <c r="K21" s="8">
        <v>298.95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4.25" customHeight="1">
      <c r="A22" s="9" t="s">
        <v>64</v>
      </c>
      <c r="B22" s="8">
        <v>99.12</v>
      </c>
      <c r="C22" s="8">
        <v>103.81</v>
      </c>
      <c r="D22" s="8">
        <v>99.68</v>
      </c>
      <c r="E22" s="8">
        <v>97.96</v>
      </c>
      <c r="F22" s="8">
        <v>87.45</v>
      </c>
      <c r="G22" s="8">
        <v>90.7</v>
      </c>
      <c r="H22" s="8">
        <v>82.18</v>
      </c>
      <c r="I22" s="8">
        <v>99.91</v>
      </c>
      <c r="J22" s="8">
        <v>110.38</v>
      </c>
      <c r="K22" s="8">
        <v>157.62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4.25" customHeight="1">
      <c r="A23" s="9" t="s">
        <v>65</v>
      </c>
      <c r="B23" s="8">
        <v>94.93</v>
      </c>
      <c r="C23" s="8">
        <v>82.64</v>
      </c>
      <c r="D23" s="8">
        <v>93.49</v>
      </c>
      <c r="E23" s="8">
        <v>91.83</v>
      </c>
      <c r="F23" s="8">
        <v>86.31</v>
      </c>
      <c r="G23" s="8">
        <v>72.11</v>
      </c>
      <c r="H23" s="8">
        <v>54.54</v>
      </c>
      <c r="I23" s="8">
        <v>67.22</v>
      </c>
      <c r="J23" s="8">
        <v>79.48</v>
      </c>
      <c r="K23" s="8">
        <v>100.76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4.25" customHeight="1">
      <c r="A24" s="9" t="s">
        <v>66</v>
      </c>
      <c r="B24" s="8">
        <v>19.05</v>
      </c>
      <c r="C24" s="8">
        <v>29.43</v>
      </c>
      <c r="D24" s="8">
        <v>30.34</v>
      </c>
      <c r="E24" s="8">
        <v>28.14</v>
      </c>
      <c r="F24" s="8">
        <v>20.99</v>
      </c>
      <c r="G24" s="8">
        <v>17.94</v>
      </c>
      <c r="H24" s="8">
        <v>20.38</v>
      </c>
      <c r="I24" s="8">
        <v>23.41</v>
      </c>
      <c r="J24" s="8">
        <v>25.74</v>
      </c>
      <c r="K24" s="8">
        <v>40.67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4.25" customHeight="1">
      <c r="A25" s="9" t="s">
        <v>7</v>
      </c>
      <c r="B25" s="8">
        <v>8.61</v>
      </c>
      <c r="C25" s="8">
        <v>11.59</v>
      </c>
      <c r="D25" s="8">
        <v>20.51</v>
      </c>
      <c r="E25" s="8">
        <v>15.96</v>
      </c>
      <c r="F25" s="8">
        <v>20.74</v>
      </c>
      <c r="G25" s="8">
        <v>22.5</v>
      </c>
      <c r="H25" s="8">
        <v>5.57</v>
      </c>
      <c r="I25" s="8">
        <v>25.98</v>
      </c>
      <c r="J25" s="8">
        <v>20.37</v>
      </c>
      <c r="K25" s="8">
        <v>7.52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4.25" customHeight="1">
      <c r="A26" s="9" t="s">
        <v>8</v>
      </c>
      <c r="B26" s="8">
        <v>52.91</v>
      </c>
      <c r="C26" s="8">
        <v>50.68</v>
      </c>
      <c r="D26" s="8">
        <v>48.5</v>
      </c>
      <c r="E26" s="8">
        <v>46.17</v>
      </c>
      <c r="F26" s="8">
        <v>44.48</v>
      </c>
      <c r="G26" s="8">
        <v>40.75</v>
      </c>
      <c r="H26" s="8">
        <v>38.81</v>
      </c>
      <c r="I26" s="8">
        <v>35.08</v>
      </c>
      <c r="J26" s="8">
        <v>35.46</v>
      </c>
      <c r="K26" s="8">
        <v>41.26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4.25" customHeight="1">
      <c r="A27" s="9" t="s">
        <v>9</v>
      </c>
      <c r="B27" s="8">
        <v>70.71</v>
      </c>
      <c r="C27" s="8">
        <v>68.42</v>
      </c>
      <c r="D27" s="8">
        <v>46.27</v>
      </c>
      <c r="E27" s="8">
        <v>40.67</v>
      </c>
      <c r="F27" s="8">
        <v>30.64</v>
      </c>
      <c r="G27" s="8">
        <v>22.2</v>
      </c>
      <c r="H27" s="8">
        <v>14.71</v>
      </c>
      <c r="I27" s="8">
        <v>7.48</v>
      </c>
      <c r="J27" s="8">
        <v>6.55</v>
      </c>
      <c r="K27" s="8">
        <v>12.94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4.25" customHeight="1">
      <c r="A28" s="9" t="s">
        <v>10</v>
      </c>
      <c r="B28" s="8">
        <v>24.06</v>
      </c>
      <c r="C28" s="8">
        <v>26.99</v>
      </c>
      <c r="D28" s="8">
        <v>54.34</v>
      </c>
      <c r="E28" s="8">
        <v>55.05</v>
      </c>
      <c r="F28" s="8">
        <v>42.8</v>
      </c>
      <c r="G28" s="8">
        <v>40.09</v>
      </c>
      <c r="H28" s="8">
        <v>19.42</v>
      </c>
      <c r="I28" s="8">
        <v>122.41</v>
      </c>
      <c r="J28" s="8">
        <v>129.8</v>
      </c>
      <c r="K28" s="8">
        <v>376.78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4.25" customHeight="1">
      <c r="A29" s="9" t="s">
        <v>11</v>
      </c>
      <c r="B29" s="8">
        <v>10.32</v>
      </c>
      <c r="C29" s="8">
        <v>12.16</v>
      </c>
      <c r="D29" s="8">
        <v>15.95</v>
      </c>
      <c r="E29" s="8">
        <v>23.37</v>
      </c>
      <c r="F29" s="8">
        <v>15.07</v>
      </c>
      <c r="G29" s="8">
        <v>13.87</v>
      </c>
      <c r="H29" s="8">
        <v>5.7</v>
      </c>
      <c r="I29" s="8">
        <v>28.69</v>
      </c>
      <c r="J29" s="8">
        <v>31.36</v>
      </c>
      <c r="K29" s="8">
        <v>96.43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4.25" customHeight="1">
      <c r="A30" s="9" t="s">
        <v>12</v>
      </c>
      <c r="B30" s="8">
        <v>14.22</v>
      </c>
      <c r="C30" s="8">
        <v>14.9</v>
      </c>
      <c r="D30" s="8">
        <v>38.66</v>
      </c>
      <c r="E30" s="8">
        <v>31.63</v>
      </c>
      <c r="F30" s="8">
        <v>27.73</v>
      </c>
      <c r="G30" s="8">
        <v>26.22</v>
      </c>
      <c r="H30" s="8">
        <v>13.73</v>
      </c>
      <c r="I30" s="8">
        <v>93.9</v>
      </c>
      <c r="J30" s="8">
        <v>98.65</v>
      </c>
      <c r="K30" s="8">
        <v>280.89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4.25" customHeight="1">
      <c r="A31" s="9" t="s">
        <v>67</v>
      </c>
      <c r="B31" s="8">
        <v>5.06</v>
      </c>
      <c r="C31" s="8">
        <v>6.32</v>
      </c>
      <c r="D31" s="8">
        <v>6.93</v>
      </c>
      <c r="E31" s="8">
        <v>6.93</v>
      </c>
      <c r="F31" s="8">
        <v>8.32</v>
      </c>
      <c r="G31" s="8">
        <v>8.32</v>
      </c>
      <c r="H31" s="8">
        <v>9.7</v>
      </c>
      <c r="I31" s="8">
        <v>11.09</v>
      </c>
      <c r="J31" s="8">
        <v>12.47</v>
      </c>
      <c r="K31" s="8">
        <v>13.86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4.2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4.25" customHeight="1">
      <c r="A33" s="9"/>
      <c r="B33" s="9"/>
      <c r="C33" s="9"/>
      <c r="D33" s="9"/>
      <c r="E33" s="9"/>
      <c r="F33" s="9"/>
      <c r="G33" s="9"/>
      <c r="H33" s="9"/>
      <c r="I33" s="9">
        <f t="shared" ref="I33:K33" si="1">SUM(I18:I22)</f>
        <v>1021.55</v>
      </c>
      <c r="J33" s="9">
        <f t="shared" si="1"/>
        <v>1110.74</v>
      </c>
      <c r="K33" s="9">
        <f t="shared" si="1"/>
        <v>1786.05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4.25" customHeight="1">
      <c r="A34" s="9"/>
      <c r="B34" s="9"/>
      <c r="C34" s="9"/>
      <c r="D34" s="9"/>
      <c r="E34" s="9"/>
      <c r="F34" s="9"/>
      <c r="G34" s="9"/>
      <c r="H34" s="9"/>
      <c r="I34" s="9">
        <f t="shared" ref="I34:K34" si="2">SUM(I23:I24)</f>
        <v>90.63</v>
      </c>
      <c r="J34" s="9">
        <f t="shared" si="2"/>
        <v>105.22</v>
      </c>
      <c r="K34" s="9">
        <f t="shared" si="2"/>
        <v>141.43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4.25" customHeight="1">
      <c r="A35" s="9"/>
      <c r="B35" s="9"/>
      <c r="C35" s="9"/>
      <c r="D35" s="9"/>
      <c r="E35" s="9"/>
      <c r="F35" s="9"/>
      <c r="G35" s="9"/>
      <c r="H35" s="9"/>
      <c r="I35" s="9">
        <f t="shared" ref="I35:K35" si="3">I33+I34</f>
        <v>1112.18</v>
      </c>
      <c r="J35" s="9">
        <f t="shared" si="3"/>
        <v>1215.96</v>
      </c>
      <c r="K35" s="9">
        <f t="shared" si="3"/>
        <v>1927.48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4.2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4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4.2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4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4.25" customHeight="1">
      <c r="A40" s="1" t="s">
        <v>68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4.25" customHeight="1">
      <c r="A41" s="20" t="s">
        <v>59</v>
      </c>
      <c r="B41" s="6">
        <v>44834.0</v>
      </c>
      <c r="C41" s="6">
        <v>44926.0</v>
      </c>
      <c r="D41" s="6">
        <v>45016.0</v>
      </c>
      <c r="E41" s="6">
        <v>45107.0</v>
      </c>
      <c r="F41" s="6">
        <v>45199.0</v>
      </c>
      <c r="G41" s="6">
        <v>45291.0</v>
      </c>
      <c r="H41" s="6">
        <v>45382.0</v>
      </c>
      <c r="I41" s="6">
        <v>45473.0</v>
      </c>
      <c r="J41" s="6">
        <v>45565.0</v>
      </c>
      <c r="K41" s="6">
        <v>45657.0</v>
      </c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4.25" customHeight="1">
      <c r="A42" s="9" t="s">
        <v>4</v>
      </c>
      <c r="B42" s="8">
        <v>313.88</v>
      </c>
      <c r="C42" s="8">
        <v>332.49</v>
      </c>
      <c r="D42" s="8">
        <v>402.61</v>
      </c>
      <c r="E42" s="8">
        <v>467.43</v>
      </c>
      <c r="F42" s="8">
        <v>556.58</v>
      </c>
      <c r="G42" s="8">
        <v>599.26</v>
      </c>
      <c r="H42" s="8">
        <v>610.09</v>
      </c>
      <c r="I42" s="8">
        <v>520.11</v>
      </c>
      <c r="J42" s="8">
        <v>520.96</v>
      </c>
      <c r="K42" s="8">
        <v>450.56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4.25" customHeight="1">
      <c r="A43" s="9" t="s">
        <v>5</v>
      </c>
      <c r="B43" s="8">
        <v>280.61</v>
      </c>
      <c r="C43" s="8">
        <v>294.1</v>
      </c>
      <c r="D43" s="8">
        <v>357.84</v>
      </c>
      <c r="E43" s="8">
        <v>389.5</v>
      </c>
      <c r="F43" s="8">
        <v>455.74</v>
      </c>
      <c r="G43" s="8">
        <v>486.06</v>
      </c>
      <c r="H43" s="8">
        <v>478.6</v>
      </c>
      <c r="I43" s="8">
        <v>409.64</v>
      </c>
      <c r="J43" s="8">
        <v>412.42</v>
      </c>
      <c r="K43" s="8">
        <v>357.0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4.25" customHeight="1">
      <c r="A44" s="9" t="s">
        <v>7</v>
      </c>
      <c r="B44" s="8">
        <v>6.14</v>
      </c>
      <c r="C44" s="8">
        <v>5.79</v>
      </c>
      <c r="D44" s="8">
        <v>3.93</v>
      </c>
      <c r="E44" s="8">
        <v>2.73</v>
      </c>
      <c r="F44" s="8">
        <v>3.25</v>
      </c>
      <c r="G44" s="8">
        <v>2.44</v>
      </c>
      <c r="H44" s="8">
        <v>-18.6</v>
      </c>
      <c r="I44" s="8">
        <v>5.44</v>
      </c>
      <c r="J44" s="8">
        <v>12.42</v>
      </c>
      <c r="K44" s="8">
        <v>1.5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4.25" customHeight="1">
      <c r="A45" s="9" t="s">
        <v>8</v>
      </c>
      <c r="B45" s="8">
        <v>8.44</v>
      </c>
      <c r="C45" s="8">
        <v>8.73</v>
      </c>
      <c r="D45" s="8">
        <v>10.01</v>
      </c>
      <c r="E45" s="8">
        <v>9.5</v>
      </c>
      <c r="F45" s="8">
        <v>10.01</v>
      </c>
      <c r="G45" s="8">
        <v>10.84</v>
      </c>
      <c r="H45" s="8">
        <v>10.9</v>
      </c>
      <c r="I45" s="8">
        <v>10.83</v>
      </c>
      <c r="J45" s="8">
        <v>11.26</v>
      </c>
      <c r="K45" s="8">
        <v>11.19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4.25" customHeight="1">
      <c r="A46" s="9" t="s">
        <v>9</v>
      </c>
      <c r="B46" s="8">
        <v>1.05</v>
      </c>
      <c r="C46" s="8">
        <v>2.08</v>
      </c>
      <c r="D46" s="8">
        <v>2.55</v>
      </c>
      <c r="E46" s="8">
        <v>2.08</v>
      </c>
      <c r="F46" s="8">
        <v>3.4</v>
      </c>
      <c r="G46" s="8">
        <v>3.28</v>
      </c>
      <c r="H46" s="8">
        <v>4.17</v>
      </c>
      <c r="I46" s="8">
        <v>1.89</v>
      </c>
      <c r="J46" s="8">
        <v>2.79</v>
      </c>
      <c r="K46" s="8">
        <v>4.65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4.25" customHeight="1">
      <c r="A47" s="9" t="s">
        <v>10</v>
      </c>
      <c r="B47" s="8">
        <v>29.92</v>
      </c>
      <c r="C47" s="8">
        <v>33.37</v>
      </c>
      <c r="D47" s="8">
        <v>36.14</v>
      </c>
      <c r="E47" s="8">
        <v>69.08</v>
      </c>
      <c r="F47" s="8">
        <v>90.68</v>
      </c>
      <c r="G47" s="8">
        <v>101.52</v>
      </c>
      <c r="H47" s="8">
        <v>97.82</v>
      </c>
      <c r="I47" s="8">
        <v>103.19</v>
      </c>
      <c r="J47" s="8">
        <v>106.91</v>
      </c>
      <c r="K47" s="8">
        <v>79.22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4.25" customHeight="1">
      <c r="A48" s="9" t="s">
        <v>11</v>
      </c>
      <c r="B48" s="8">
        <v>10.39</v>
      </c>
      <c r="C48" s="8">
        <v>10.73</v>
      </c>
      <c r="D48" s="8">
        <v>1.2</v>
      </c>
      <c r="E48" s="8">
        <v>17.57</v>
      </c>
      <c r="F48" s="8">
        <v>23.52</v>
      </c>
      <c r="G48" s="8">
        <v>23.07</v>
      </c>
      <c r="H48" s="8">
        <v>32.29</v>
      </c>
      <c r="I48" s="8">
        <v>27.33</v>
      </c>
      <c r="J48" s="8">
        <v>30.9</v>
      </c>
      <c r="K48" s="8">
        <v>20.83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4.25" customHeight="1">
      <c r="A49" s="9" t="s">
        <v>12</v>
      </c>
      <c r="B49" s="8">
        <v>20.08</v>
      </c>
      <c r="C49" s="8">
        <v>23.74</v>
      </c>
      <c r="D49" s="8">
        <v>34.8</v>
      </c>
      <c r="E49" s="8">
        <v>51.73</v>
      </c>
      <c r="F49" s="8">
        <v>68.67</v>
      </c>
      <c r="G49" s="8">
        <v>79.04</v>
      </c>
      <c r="H49" s="8">
        <v>81.45</v>
      </c>
      <c r="I49" s="8">
        <v>80.09</v>
      </c>
      <c r="J49" s="8">
        <v>87.26</v>
      </c>
      <c r="K49" s="8">
        <v>64.61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4.25" customHeight="1">
      <c r="A50" s="9" t="s">
        <v>6</v>
      </c>
      <c r="B50" s="8">
        <v>33.27</v>
      </c>
      <c r="C50" s="8">
        <v>38.39</v>
      </c>
      <c r="D50" s="8">
        <v>44.77</v>
      </c>
      <c r="E50" s="8">
        <v>77.93</v>
      </c>
      <c r="F50" s="8">
        <v>100.84</v>
      </c>
      <c r="G50" s="8">
        <v>113.2</v>
      </c>
      <c r="H50" s="8">
        <v>131.49</v>
      </c>
      <c r="I50" s="8">
        <v>110.47</v>
      </c>
      <c r="J50" s="8">
        <v>108.54</v>
      </c>
      <c r="K50" s="8">
        <v>93.56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4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4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4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4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4.25" customHeight="1">
      <c r="A55" s="1" t="s">
        <v>69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4.25" customHeight="1">
      <c r="A56" s="20" t="s">
        <v>59</v>
      </c>
      <c r="B56" s="6">
        <v>42094.0</v>
      </c>
      <c r="C56" s="6">
        <v>42460.0</v>
      </c>
      <c r="D56" s="6">
        <v>42825.0</v>
      </c>
      <c r="E56" s="6">
        <v>43190.0</v>
      </c>
      <c r="F56" s="6">
        <v>43555.0</v>
      </c>
      <c r="G56" s="6">
        <v>43921.0</v>
      </c>
      <c r="H56" s="6">
        <v>44286.0</v>
      </c>
      <c r="I56" s="6">
        <v>44651.0</v>
      </c>
      <c r="J56" s="6">
        <v>45016.0</v>
      </c>
      <c r="K56" s="6">
        <v>45382.0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4.25" customHeight="1">
      <c r="A57" s="9" t="s">
        <v>29</v>
      </c>
      <c r="B57" s="8">
        <v>25.3</v>
      </c>
      <c r="C57" s="8">
        <v>25.3</v>
      </c>
      <c r="D57" s="8">
        <v>27.72</v>
      </c>
      <c r="E57" s="8">
        <v>27.72</v>
      </c>
      <c r="F57" s="8">
        <v>27.72</v>
      </c>
      <c r="G57" s="8">
        <v>27.72</v>
      </c>
      <c r="H57" s="8">
        <v>27.72</v>
      </c>
      <c r="I57" s="8">
        <v>27.72</v>
      </c>
      <c r="J57" s="8">
        <v>27.72</v>
      </c>
      <c r="K57" s="8">
        <v>27.72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4.25" customHeight="1">
      <c r="A58" s="9" t="s">
        <v>30</v>
      </c>
      <c r="B58" s="8">
        <v>539.48</v>
      </c>
      <c r="C58" s="8">
        <v>583.81</v>
      </c>
      <c r="D58" s="8">
        <v>701.4</v>
      </c>
      <c r="E58" s="8">
        <v>723.97</v>
      </c>
      <c r="F58" s="8">
        <v>738.51</v>
      </c>
      <c r="G58" s="8">
        <v>745.15</v>
      </c>
      <c r="H58" s="8">
        <v>754.33</v>
      </c>
      <c r="I58" s="8">
        <v>838.04</v>
      </c>
      <c r="J58" s="8">
        <v>923.73</v>
      </c>
      <c r="K58" s="8">
        <v>1192.82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4.25" customHeight="1">
      <c r="A59" s="9" t="s">
        <v>31</v>
      </c>
      <c r="B59" s="8">
        <v>686.46</v>
      </c>
      <c r="C59" s="8">
        <v>548.9</v>
      </c>
      <c r="D59" s="8">
        <v>479.03</v>
      </c>
      <c r="E59" s="8">
        <v>366.28</v>
      </c>
      <c r="F59" s="8">
        <v>232.1</v>
      </c>
      <c r="G59" s="8">
        <v>160.96</v>
      </c>
      <c r="H59" s="8">
        <v>69.94</v>
      </c>
      <c r="I59" s="8">
        <v>62.61</v>
      </c>
      <c r="J59" s="8">
        <v>86.02</v>
      </c>
      <c r="K59" s="8">
        <v>67.46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4.25" customHeight="1">
      <c r="A60" s="9" t="s">
        <v>32</v>
      </c>
      <c r="B60" s="8">
        <v>310.72</v>
      </c>
      <c r="C60" s="8">
        <v>276.89</v>
      </c>
      <c r="D60" s="8">
        <v>258.38</v>
      </c>
      <c r="E60" s="8">
        <v>223.55</v>
      </c>
      <c r="F60" s="8">
        <v>162.38</v>
      </c>
      <c r="G60" s="8">
        <v>168.69</v>
      </c>
      <c r="H60" s="8">
        <v>184.27</v>
      </c>
      <c r="I60" s="8">
        <v>204.24</v>
      </c>
      <c r="J60" s="8">
        <v>256.72</v>
      </c>
      <c r="K60" s="8">
        <v>366.1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4.25" customHeight="1">
      <c r="A61" s="1" t="s">
        <v>33</v>
      </c>
      <c r="B61" s="8">
        <v>1561.96</v>
      </c>
      <c r="C61" s="8">
        <v>1434.9</v>
      </c>
      <c r="D61" s="8">
        <v>1466.53</v>
      </c>
      <c r="E61" s="8">
        <v>1341.52</v>
      </c>
      <c r="F61" s="8">
        <v>1160.71</v>
      </c>
      <c r="G61" s="8">
        <v>1102.52</v>
      </c>
      <c r="H61" s="8">
        <v>1036.26</v>
      </c>
      <c r="I61" s="8">
        <v>1132.61</v>
      </c>
      <c r="J61" s="8">
        <v>1294.19</v>
      </c>
      <c r="K61" s="8">
        <v>1654.1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9" t="s">
        <v>34</v>
      </c>
      <c r="B62" s="8">
        <v>456.4</v>
      </c>
      <c r="C62" s="8">
        <v>415.4</v>
      </c>
      <c r="D62" s="8">
        <v>416.88</v>
      </c>
      <c r="E62" s="8">
        <v>363.43</v>
      </c>
      <c r="F62" s="8">
        <v>320.7</v>
      </c>
      <c r="G62" s="8">
        <v>303.69</v>
      </c>
      <c r="H62" s="8">
        <v>279.01</v>
      </c>
      <c r="I62" s="8">
        <v>264.51</v>
      </c>
      <c r="J62" s="8">
        <v>320.4</v>
      </c>
      <c r="K62" s="8">
        <v>354.24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4.25" customHeight="1">
      <c r="A63" s="9" t="s">
        <v>35</v>
      </c>
      <c r="B63" s="8">
        <v>49.38</v>
      </c>
      <c r="C63" s="8">
        <v>48.07</v>
      </c>
      <c r="D63" s="8">
        <v>33.36</v>
      </c>
      <c r="E63" s="8">
        <v>26.01</v>
      </c>
      <c r="F63" s="8">
        <v>37.21</v>
      </c>
      <c r="G63" s="8">
        <v>26.96</v>
      </c>
      <c r="H63" s="8">
        <v>42.86</v>
      </c>
      <c r="I63" s="8">
        <v>81.33</v>
      </c>
      <c r="J63" s="8">
        <v>50.09</v>
      </c>
      <c r="K63" s="8">
        <v>20.4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4.25" customHeight="1">
      <c r="A64" s="9" t="s">
        <v>36</v>
      </c>
      <c r="B64" s="8">
        <v>1.99</v>
      </c>
      <c r="C64" s="8">
        <v>7.7</v>
      </c>
      <c r="D64" s="8">
        <v>7.85</v>
      </c>
      <c r="E64" s="8">
        <v>4.73</v>
      </c>
      <c r="F64" s="8">
        <v>5.31</v>
      </c>
      <c r="G64" s="8">
        <v>6.06</v>
      </c>
      <c r="H64" s="8">
        <v>7.07</v>
      </c>
      <c r="I64" s="8">
        <v>7.73</v>
      </c>
      <c r="J64" s="8">
        <v>8.73</v>
      </c>
      <c r="K64" s="8">
        <v>108.22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4.25" customHeight="1">
      <c r="A65" s="9" t="s">
        <v>37</v>
      </c>
      <c r="B65" s="8">
        <v>1054.19</v>
      </c>
      <c r="C65" s="8">
        <v>963.73</v>
      </c>
      <c r="D65" s="8">
        <v>1008.44</v>
      </c>
      <c r="E65" s="8">
        <v>947.35</v>
      </c>
      <c r="F65" s="8">
        <v>797.49</v>
      </c>
      <c r="G65" s="8">
        <v>765.81</v>
      </c>
      <c r="H65" s="8">
        <v>707.32</v>
      </c>
      <c r="I65" s="8">
        <v>779.04</v>
      </c>
      <c r="J65" s="8">
        <v>914.97</v>
      </c>
      <c r="K65" s="8">
        <v>1171.24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4.25" customHeight="1">
      <c r="A66" s="1" t="s">
        <v>33</v>
      </c>
      <c r="B66" s="8">
        <v>1561.96</v>
      </c>
      <c r="C66" s="8">
        <v>1434.9</v>
      </c>
      <c r="D66" s="8">
        <v>1466.53</v>
      </c>
      <c r="E66" s="8">
        <v>1341.52</v>
      </c>
      <c r="F66" s="8">
        <v>1160.71</v>
      </c>
      <c r="G66" s="8">
        <v>1102.52</v>
      </c>
      <c r="H66" s="8">
        <v>1036.26</v>
      </c>
      <c r="I66" s="8">
        <v>1132.61</v>
      </c>
      <c r="J66" s="8">
        <v>1294.19</v>
      </c>
      <c r="K66" s="8">
        <v>1654.1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9" t="s">
        <v>70</v>
      </c>
      <c r="B67" s="8">
        <v>393.64</v>
      </c>
      <c r="C67" s="8">
        <v>426.62</v>
      </c>
      <c r="D67" s="8">
        <v>471.03</v>
      </c>
      <c r="E67" s="8">
        <v>453.18</v>
      </c>
      <c r="F67" s="8">
        <v>363.09</v>
      </c>
      <c r="G67" s="8">
        <v>305.16</v>
      </c>
      <c r="H67" s="8">
        <v>253.72</v>
      </c>
      <c r="I67" s="8">
        <v>292.66</v>
      </c>
      <c r="J67" s="8">
        <v>312.01</v>
      </c>
      <c r="K67" s="8">
        <v>382.13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4.25" customHeight="1">
      <c r="A68" s="9" t="s">
        <v>40</v>
      </c>
      <c r="B68" s="8">
        <v>517.89</v>
      </c>
      <c r="C68" s="8">
        <v>395.88</v>
      </c>
      <c r="D68" s="8">
        <v>407.72</v>
      </c>
      <c r="E68" s="8">
        <v>367.46</v>
      </c>
      <c r="F68" s="8">
        <v>324.85</v>
      </c>
      <c r="G68" s="8">
        <v>304.32</v>
      </c>
      <c r="H68" s="8">
        <v>289.86</v>
      </c>
      <c r="I68" s="8">
        <v>307.03</v>
      </c>
      <c r="J68" s="8">
        <v>336.25</v>
      </c>
      <c r="K68" s="8">
        <v>432.72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4.25" customHeight="1">
      <c r="A69" s="9" t="s">
        <v>71</v>
      </c>
      <c r="B69" s="8">
        <v>48.3</v>
      </c>
      <c r="C69" s="8">
        <v>34.05</v>
      </c>
      <c r="D69" s="8">
        <v>25.69</v>
      </c>
      <c r="E69" s="8">
        <v>20.24</v>
      </c>
      <c r="F69" s="8">
        <v>33.02</v>
      </c>
      <c r="G69" s="8">
        <v>74.93</v>
      </c>
      <c r="H69" s="8">
        <v>68.24</v>
      </c>
      <c r="I69" s="8">
        <v>104.72</v>
      </c>
      <c r="J69" s="8">
        <v>145.96</v>
      </c>
      <c r="K69" s="8">
        <v>234.95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4.25" customHeight="1">
      <c r="A70" s="9" t="s">
        <v>72</v>
      </c>
      <c r="B70" s="8">
        <v>2.53E8</v>
      </c>
      <c r="C70" s="8">
        <v>2.53E8</v>
      </c>
      <c r="D70" s="8">
        <v>2.77194946E8</v>
      </c>
      <c r="E70" s="8">
        <v>2.77194946E8</v>
      </c>
      <c r="F70" s="8">
        <v>2.77194946E8</v>
      </c>
      <c r="G70" s="8">
        <v>2.77194946E8</v>
      </c>
      <c r="H70" s="8">
        <v>2.77194946E8</v>
      </c>
      <c r="I70" s="8">
        <v>2.77194946E8</v>
      </c>
      <c r="J70" s="8">
        <v>2.77194946E8</v>
      </c>
      <c r="K70" s="8">
        <v>2.77194946E8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4.25" customHeight="1">
      <c r="A71" s="9" t="s">
        <v>73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4.25" customHeight="1">
      <c r="A72" s="9" t="s">
        <v>74</v>
      </c>
      <c r="B72" s="8">
        <v>1.0</v>
      </c>
      <c r="C72" s="8">
        <v>1.0</v>
      </c>
      <c r="D72" s="8">
        <v>1.0</v>
      </c>
      <c r="E72" s="8">
        <v>1.0</v>
      </c>
      <c r="F72" s="8">
        <v>1.0</v>
      </c>
      <c r="G72" s="8">
        <v>1.0</v>
      </c>
      <c r="H72" s="8">
        <v>1.0</v>
      </c>
      <c r="I72" s="8">
        <v>1.0</v>
      </c>
      <c r="J72" s="8">
        <v>1.0</v>
      </c>
      <c r="K72" s="8">
        <v>1.0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4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4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4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4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4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4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4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4.25" customHeight="1">
      <c r="A80" s="1" t="s">
        <v>75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4.25" customHeight="1">
      <c r="A81" s="20" t="s">
        <v>59</v>
      </c>
      <c r="B81" s="6">
        <v>42094.0</v>
      </c>
      <c r="C81" s="6">
        <v>42460.0</v>
      </c>
      <c r="D81" s="6">
        <v>42825.0</v>
      </c>
      <c r="E81" s="6">
        <v>43190.0</v>
      </c>
      <c r="F81" s="6">
        <v>43555.0</v>
      </c>
      <c r="G81" s="6">
        <v>43921.0</v>
      </c>
      <c r="H81" s="6">
        <v>44286.0</v>
      </c>
      <c r="I81" s="6">
        <v>44651.0</v>
      </c>
      <c r="J81" s="6">
        <v>45016.0</v>
      </c>
      <c r="K81" s="6">
        <v>45382.0</v>
      </c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4.25" customHeight="1">
      <c r="A82" s="9" t="s">
        <v>45</v>
      </c>
      <c r="B82" s="8">
        <v>78.89</v>
      </c>
      <c r="C82" s="8">
        <v>157.76</v>
      </c>
      <c r="D82" s="8">
        <v>43.2</v>
      </c>
      <c r="E82" s="8">
        <v>158.76</v>
      </c>
      <c r="F82" s="8">
        <v>167.07</v>
      </c>
      <c r="G82" s="8">
        <v>148.78</v>
      </c>
      <c r="H82" s="8">
        <v>121.12</v>
      </c>
      <c r="I82" s="8">
        <v>62.47</v>
      </c>
      <c r="J82" s="8">
        <v>122.44</v>
      </c>
      <c r="K82" s="8">
        <v>273.1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9" t="s">
        <v>46</v>
      </c>
      <c r="B83" s="8">
        <v>-12.73</v>
      </c>
      <c r="C83" s="8">
        <v>-10.2</v>
      </c>
      <c r="D83" s="8">
        <v>60.23</v>
      </c>
      <c r="E83" s="8">
        <v>-7.97</v>
      </c>
      <c r="F83" s="8">
        <v>0.92</v>
      </c>
      <c r="G83" s="8">
        <v>-5.73</v>
      </c>
      <c r="H83" s="8">
        <v>-32.02</v>
      </c>
      <c r="I83" s="8">
        <v>-16.77</v>
      </c>
      <c r="J83" s="8">
        <v>-49.71</v>
      </c>
      <c r="K83" s="8">
        <v>-139.38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4.25" customHeight="1">
      <c r="A84" s="9" t="s">
        <v>47</v>
      </c>
      <c r="B84" s="8">
        <v>-66.23</v>
      </c>
      <c r="C84" s="8">
        <v>-152.55</v>
      </c>
      <c r="D84" s="8">
        <v>-114.38</v>
      </c>
      <c r="E84" s="8">
        <v>-149.5</v>
      </c>
      <c r="F84" s="8">
        <v>-163.41</v>
      </c>
      <c r="G84" s="8">
        <v>-114.04</v>
      </c>
      <c r="H84" s="8">
        <v>-103.55</v>
      </c>
      <c r="I84" s="8">
        <v>-22.32</v>
      </c>
      <c r="J84" s="8">
        <v>9.56</v>
      </c>
      <c r="K84" s="8">
        <v>-42.27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4.25" customHeight="1">
      <c r="A85" s="9" t="s">
        <v>48</v>
      </c>
      <c r="B85" s="8">
        <v>-0.07</v>
      </c>
      <c r="C85" s="8">
        <v>-4.99</v>
      </c>
      <c r="D85" s="8">
        <v>-10.94</v>
      </c>
      <c r="E85" s="8">
        <v>1.29</v>
      </c>
      <c r="F85" s="8">
        <v>4.58</v>
      </c>
      <c r="G85" s="8">
        <v>29.01</v>
      </c>
      <c r="H85" s="8">
        <v>-14.45</v>
      </c>
      <c r="I85" s="8">
        <v>23.38</v>
      </c>
      <c r="J85" s="8">
        <v>82.28</v>
      </c>
      <c r="K85" s="8">
        <v>91.45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4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4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4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4.25" customHeight="1">
      <c r="A90" s="1" t="s">
        <v>76</v>
      </c>
      <c r="B90" s="8">
        <v>51.1</v>
      </c>
      <c r="C90" s="8">
        <v>36.3</v>
      </c>
      <c r="D90" s="8">
        <v>42.8</v>
      </c>
      <c r="E90" s="8">
        <v>44.15</v>
      </c>
      <c r="F90" s="8">
        <v>25.6</v>
      </c>
      <c r="G90" s="8">
        <v>11.0</v>
      </c>
      <c r="H90" s="8">
        <v>33.35</v>
      </c>
      <c r="I90" s="8">
        <v>63.4</v>
      </c>
      <c r="J90" s="8">
        <v>95.25</v>
      </c>
      <c r="K90" s="8">
        <v>454.0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4.25" customHeight="1">
      <c r="A92" s="1" t="s">
        <v>77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9" t="s">
        <v>78</v>
      </c>
      <c r="B93" s="22">
        <v>25.3</v>
      </c>
      <c r="C93" s="22">
        <v>25.3</v>
      </c>
      <c r="D93" s="22">
        <v>25.3</v>
      </c>
      <c r="E93" s="22">
        <v>27.72</v>
      </c>
      <c r="F93" s="22">
        <v>27.72</v>
      </c>
      <c r="G93" s="22">
        <v>27.72</v>
      </c>
      <c r="H93" s="22">
        <v>27.72</v>
      </c>
      <c r="I93" s="22">
        <v>27.72</v>
      </c>
      <c r="J93" s="22">
        <v>27.72</v>
      </c>
      <c r="K93" s="22">
        <v>27.72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4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4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4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4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4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4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4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4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4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4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4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4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4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4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4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4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4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4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4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4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4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4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4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4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4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4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4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4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4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4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4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4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4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4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4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4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4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4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4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4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4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4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4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4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4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4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4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4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4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4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4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4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4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4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4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4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4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4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4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4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4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4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4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4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4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4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4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4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4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4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4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4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4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4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4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4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4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4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4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4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4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4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4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4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4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4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4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4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4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4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4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4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4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4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4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4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4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4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4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4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4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4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4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4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4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4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4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4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4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4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4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4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4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4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4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4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4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4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4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4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4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4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4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4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4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4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4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4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4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4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4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4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4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4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4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4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4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4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4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4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4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4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4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4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4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4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4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4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4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4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4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4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4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4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4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4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4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4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4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4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4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4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4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4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4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4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4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4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4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4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4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4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4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4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4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4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4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4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4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4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4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4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4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4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4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4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4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4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4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4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4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4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4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4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4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4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4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4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4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4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4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4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4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4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4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4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4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4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4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4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4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4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4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4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4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4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4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4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4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4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4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4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4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4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4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4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4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4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4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4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4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4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4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4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4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4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4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4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4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4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4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4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4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4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4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4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4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4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4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4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4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4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4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4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4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4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4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4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4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4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4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4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4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4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4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4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4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4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4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4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4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4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4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4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4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4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4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4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4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4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4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4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4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4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4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4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4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4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4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4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4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4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4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4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4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4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4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4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4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4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4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4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4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4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4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4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4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4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4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4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4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4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4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4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4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4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4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4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4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4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4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4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4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4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4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4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4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4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4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4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4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4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4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4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4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4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4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4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4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4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4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4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4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4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4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4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4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4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4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4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4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4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4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4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4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4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4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4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4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4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4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4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4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4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4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4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4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4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4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4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4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4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4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4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4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4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4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4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4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4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4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4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4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4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4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4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4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4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4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4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4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4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4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4.2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4.2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4.2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4.2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4.2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4.2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4.2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4.2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4.2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4.2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4.2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4.2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4.2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4.2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4.2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4.2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4.2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4.2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4.2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4.2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4.2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4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4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4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4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4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4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4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4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4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4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4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4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4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4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4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4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4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4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4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4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4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4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4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4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4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4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4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4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4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4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4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4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4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4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4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4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4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4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4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4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4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4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4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4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4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4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4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4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4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4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4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4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4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4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4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4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4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4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4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4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4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4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4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4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4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4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4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4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4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4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4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4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4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4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4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4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4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4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4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4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4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4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4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4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4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4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4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4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4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4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4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4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4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4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4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4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4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4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4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4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4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4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4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4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4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4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4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4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4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4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4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4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4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4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4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4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4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4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4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4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4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4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4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4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4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4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4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4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4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4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4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4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4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4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4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4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4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4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4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4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4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4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4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4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4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4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4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4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4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4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4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4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4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4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4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4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4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4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4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4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4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4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4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4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4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4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4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4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4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4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4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4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4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4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4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4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4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4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4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4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4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4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4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4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4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4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4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4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4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4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4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4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4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4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4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4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4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4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4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4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4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4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4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4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4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4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4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4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4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4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4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4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4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4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4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4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4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4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4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4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4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4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4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4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4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4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4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4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4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4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4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4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4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4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4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4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4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4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4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4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4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4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4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4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4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4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4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4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4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4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4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4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4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4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4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4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4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4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4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4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4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4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4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4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4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4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4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4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4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4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4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4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4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4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4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4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4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4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4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4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4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4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4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4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4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4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4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4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4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4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4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4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4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4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4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4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4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4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4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4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4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4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4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4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4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4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4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4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4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4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4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4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4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4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4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4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4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4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4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4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4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4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4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4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4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4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4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4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4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4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4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4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4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4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4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4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4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4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4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4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4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4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4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4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4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4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4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4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4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4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4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4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4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4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4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4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4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4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4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4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4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4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4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4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4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4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4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4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4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4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4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4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4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4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4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4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4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4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4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4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4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4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4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4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4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4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4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4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4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4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4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4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4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4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4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4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4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4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4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4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4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4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4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4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4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4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4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4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4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4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4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4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4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4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4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4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4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4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4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4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4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4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4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4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4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4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4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4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4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4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4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4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4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4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4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4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4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4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4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4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4.2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4.2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4.2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4.2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4.2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4.2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4.2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4.2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4.2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4.2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4.2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4.2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4.2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4.2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4.2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4.2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4.2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4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4.2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4.2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4.2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4.2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4.2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4.2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4.2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4.2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4.2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4.2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4.2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4.2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4.2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4.2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4.2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4.2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4.2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4.2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4.2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4.2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4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4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4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4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4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4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4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4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4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4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4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4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4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4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4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">
    <mergeCell ref="E1:K1"/>
  </mergeCells>
  <conditionalFormatting sqref="E1:K1">
    <cfRule type="cellIs" dxfId="0" priority="1" operator="notEqual">
      <formula>""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6" width="9.86"/>
    <col customWidth="1" min="7" max="8" width="8.71"/>
    <col customWidth="1" min="9" max="9" width="13.29"/>
    <col customWidth="1" min="10" max="13" width="8.71"/>
    <col customWidth="1" min="14" max="14" width="9.57"/>
    <col customWidth="1" min="15" max="26" width="8.71"/>
  </cols>
  <sheetData>
    <row r="1" ht="14.25" customHeight="1">
      <c r="A1" s="23" t="s">
        <v>79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6"/>
      <c r="M1" s="25"/>
      <c r="N1" s="27"/>
    </row>
    <row r="2" ht="14.25" customHeight="1">
      <c r="A2" s="28" t="s">
        <v>80</v>
      </c>
      <c r="B2" s="29"/>
      <c r="C2" s="28"/>
      <c r="D2" s="29"/>
      <c r="E2" s="30"/>
      <c r="F2" s="30"/>
      <c r="G2" s="30"/>
      <c r="H2" s="30"/>
      <c r="I2" s="30"/>
      <c r="J2" s="30"/>
      <c r="K2" s="30"/>
      <c r="L2" s="30"/>
      <c r="M2" s="30"/>
      <c r="N2" s="31"/>
    </row>
    <row r="3" ht="14.25" customHeight="1">
      <c r="A3" s="28"/>
      <c r="B3" s="29"/>
      <c r="C3" s="28"/>
      <c r="D3" s="32" t="s">
        <v>81</v>
      </c>
      <c r="E3" s="33"/>
      <c r="F3" s="34"/>
      <c r="G3" s="35"/>
      <c r="H3" s="36"/>
      <c r="I3" s="32" t="s">
        <v>82</v>
      </c>
      <c r="J3" s="33"/>
      <c r="K3" s="33"/>
      <c r="L3" s="33"/>
      <c r="M3" s="37"/>
      <c r="N3" s="38"/>
    </row>
    <row r="4" ht="14.25" customHeight="1">
      <c r="A4" s="28"/>
      <c r="B4" s="28"/>
      <c r="C4" s="28"/>
      <c r="D4" s="39">
        <f>+E4-1</f>
        <v>2022</v>
      </c>
      <c r="E4" s="39">
        <v>2023.0</v>
      </c>
      <c r="F4" s="39">
        <v>2024.0</v>
      </c>
      <c r="G4" s="40"/>
      <c r="H4" s="39">
        <v>2025.0</v>
      </c>
      <c r="I4" s="39">
        <v>2026.0</v>
      </c>
      <c r="J4" s="41">
        <v>2027.0</v>
      </c>
      <c r="K4" s="39">
        <v>2028.0</v>
      </c>
      <c r="L4" s="41">
        <v>2029.0</v>
      </c>
      <c r="M4" s="39">
        <v>2030.0</v>
      </c>
      <c r="N4" s="38"/>
    </row>
    <row r="5" ht="14.25" customHeight="1">
      <c r="A5" s="28" t="s">
        <v>4</v>
      </c>
      <c r="B5" s="28"/>
      <c r="C5" s="28"/>
      <c r="D5" s="42">
        <f>'Profit &amp; Loss'!I4</f>
        <v>1236.21</v>
      </c>
      <c r="E5" s="42">
        <f>'Profit &amp; Loss'!J4</f>
        <v>1368.68</v>
      </c>
      <c r="F5" s="42">
        <f>'Profit &amp; Loss'!K4</f>
        <v>2233.36</v>
      </c>
      <c r="G5" s="42"/>
      <c r="H5" s="42">
        <f>F5*(1+H6)</f>
        <v>2255.6936</v>
      </c>
      <c r="I5" s="42">
        <f t="shared" ref="I5:M5" si="1">H5*(1+I6)</f>
        <v>2932.40168</v>
      </c>
      <c r="J5" s="42">
        <f t="shared" si="1"/>
        <v>3518.882016</v>
      </c>
      <c r="K5" s="42">
        <f t="shared" si="1"/>
        <v>4222.658419</v>
      </c>
      <c r="L5" s="42">
        <f t="shared" si="1"/>
        <v>4476.017924</v>
      </c>
      <c r="M5" s="42">
        <f t="shared" si="1"/>
        <v>4744.579</v>
      </c>
      <c r="N5" s="43"/>
    </row>
    <row r="6" ht="14.25" customHeight="1">
      <c r="A6" s="44" t="s">
        <v>83</v>
      </c>
      <c r="B6" s="29"/>
      <c r="C6" s="29"/>
      <c r="D6" s="45"/>
      <c r="E6" s="46">
        <f t="shared" ref="E6:F6" si="2">(E5-D5)/D5</f>
        <v>0.1071581689</v>
      </c>
      <c r="F6" s="46">
        <f t="shared" si="2"/>
        <v>0.6317619897</v>
      </c>
      <c r="G6" s="47"/>
      <c r="H6" s="46">
        <f>0.01</f>
        <v>0.01</v>
      </c>
      <c r="I6" s="46">
        <f>0.3</f>
        <v>0.3</v>
      </c>
      <c r="J6" s="46">
        <f t="shared" ref="J6:K6" si="3">0.2</f>
        <v>0.2</v>
      </c>
      <c r="K6" s="46">
        <f t="shared" si="3"/>
        <v>0.2</v>
      </c>
      <c r="L6" s="46">
        <f t="shared" ref="L6:M6" si="4">0.06</f>
        <v>0.06</v>
      </c>
      <c r="M6" s="46">
        <f t="shared" si="4"/>
        <v>0.06</v>
      </c>
      <c r="N6" s="48"/>
    </row>
    <row r="7" ht="14.25" customHeight="1">
      <c r="A7" s="29" t="s">
        <v>84</v>
      </c>
      <c r="B7" s="30"/>
      <c r="C7" s="49">
        <v>0.8</v>
      </c>
      <c r="D7" s="42">
        <f>'Data Sheet'!I33</f>
        <v>1021.55</v>
      </c>
      <c r="E7" s="42">
        <f>'Data Sheet'!J33</f>
        <v>1110.74</v>
      </c>
      <c r="F7" s="42">
        <f>'Data Sheet'!K33</f>
        <v>1786.05</v>
      </c>
      <c r="G7" s="42"/>
      <c r="H7" s="42">
        <f t="shared" ref="H7:M7" si="5">H5*0.8</f>
        <v>1804.55488</v>
      </c>
      <c r="I7" s="42">
        <f t="shared" si="5"/>
        <v>2345.921344</v>
      </c>
      <c r="J7" s="42">
        <f t="shared" si="5"/>
        <v>2815.105613</v>
      </c>
      <c r="K7" s="42">
        <f t="shared" si="5"/>
        <v>3378.126735</v>
      </c>
      <c r="L7" s="42">
        <f t="shared" si="5"/>
        <v>3580.814339</v>
      </c>
      <c r="M7" s="42">
        <f t="shared" si="5"/>
        <v>3795.6632</v>
      </c>
      <c r="N7" s="43"/>
    </row>
    <row r="8" ht="14.25" customHeight="1">
      <c r="A8" s="50" t="s">
        <v>85</v>
      </c>
      <c r="B8" s="30"/>
      <c r="C8" s="30"/>
      <c r="D8" s="51">
        <f t="shared" ref="D8:F8" si="6">+D5-D7</f>
        <v>214.66</v>
      </c>
      <c r="E8" s="51">
        <f t="shared" si="6"/>
        <v>257.94</v>
      </c>
      <c r="F8" s="51">
        <f t="shared" si="6"/>
        <v>447.31</v>
      </c>
      <c r="G8" s="52"/>
      <c r="H8" s="51">
        <f t="shared" ref="H8:M8" si="7">+H5-H7</f>
        <v>451.13872</v>
      </c>
      <c r="I8" s="51">
        <f t="shared" si="7"/>
        <v>586.480336</v>
      </c>
      <c r="J8" s="51">
        <f t="shared" si="7"/>
        <v>703.7764032</v>
      </c>
      <c r="K8" s="51">
        <f t="shared" si="7"/>
        <v>844.5316838</v>
      </c>
      <c r="L8" s="51">
        <f t="shared" si="7"/>
        <v>895.2035849</v>
      </c>
      <c r="M8" s="51">
        <f t="shared" si="7"/>
        <v>948.9158</v>
      </c>
      <c r="N8" s="43"/>
    </row>
    <row r="9" ht="14.25" customHeight="1">
      <c r="A9" s="44" t="s">
        <v>86</v>
      </c>
      <c r="B9" s="29"/>
      <c r="C9" s="29"/>
      <c r="D9" s="46">
        <f t="shared" ref="D9:F9" si="8">D8/D5</f>
        <v>0.1736436366</v>
      </c>
      <c r="E9" s="46">
        <f t="shared" si="8"/>
        <v>0.1884589532</v>
      </c>
      <c r="F9" s="46">
        <f t="shared" si="8"/>
        <v>0.2002856682</v>
      </c>
      <c r="G9" s="52"/>
      <c r="H9" s="46">
        <f t="shared" ref="H9:M9" si="9">H8/H5</f>
        <v>0.2</v>
      </c>
      <c r="I9" s="46">
        <f t="shared" si="9"/>
        <v>0.2</v>
      </c>
      <c r="J9" s="46">
        <f t="shared" si="9"/>
        <v>0.2</v>
      </c>
      <c r="K9" s="46">
        <f t="shared" si="9"/>
        <v>0.2</v>
      </c>
      <c r="L9" s="46">
        <f t="shared" si="9"/>
        <v>0.2</v>
      </c>
      <c r="M9" s="46">
        <f t="shared" si="9"/>
        <v>0.2</v>
      </c>
      <c r="N9" s="48"/>
    </row>
    <row r="10" ht="14.25" customHeight="1">
      <c r="A10" s="29" t="s">
        <v>87</v>
      </c>
      <c r="B10" s="30"/>
      <c r="C10" s="49">
        <v>0.07</v>
      </c>
      <c r="D10" s="42">
        <f>'Data Sheet'!I34</f>
        <v>90.63</v>
      </c>
      <c r="E10" s="42">
        <f>'Data Sheet'!J34</f>
        <v>105.22</v>
      </c>
      <c r="F10" s="42">
        <f>'Data Sheet'!K34</f>
        <v>141.43</v>
      </c>
      <c r="G10" s="52"/>
      <c r="H10" s="42">
        <f t="shared" ref="H10:M10" si="10">H5*0.07</f>
        <v>157.898552</v>
      </c>
      <c r="I10" s="42">
        <f t="shared" si="10"/>
        <v>205.2681176</v>
      </c>
      <c r="J10" s="42">
        <f t="shared" si="10"/>
        <v>246.3217411</v>
      </c>
      <c r="K10" s="42">
        <f t="shared" si="10"/>
        <v>295.5860893</v>
      </c>
      <c r="L10" s="42">
        <f t="shared" si="10"/>
        <v>313.3212547</v>
      </c>
      <c r="M10" s="42">
        <f t="shared" si="10"/>
        <v>332.12053</v>
      </c>
      <c r="N10" s="43"/>
    </row>
    <row r="11" ht="14.25" customHeight="1">
      <c r="A11" s="28" t="s">
        <v>88</v>
      </c>
      <c r="B11" s="28"/>
      <c r="C11" s="28"/>
      <c r="D11" s="51">
        <f t="shared" ref="D11:F11" si="11">D8-D10</f>
        <v>124.03</v>
      </c>
      <c r="E11" s="51">
        <f t="shared" si="11"/>
        <v>152.72</v>
      </c>
      <c r="F11" s="51">
        <f t="shared" si="11"/>
        <v>305.88</v>
      </c>
      <c r="G11" s="52"/>
      <c r="H11" s="51">
        <f t="shared" ref="H11:M11" si="12">H8-H10</f>
        <v>293.240168</v>
      </c>
      <c r="I11" s="51">
        <f t="shared" si="12"/>
        <v>381.2122184</v>
      </c>
      <c r="J11" s="51">
        <f t="shared" si="12"/>
        <v>457.4546621</v>
      </c>
      <c r="K11" s="51">
        <f t="shared" si="12"/>
        <v>548.9455945</v>
      </c>
      <c r="L11" s="51">
        <f t="shared" si="12"/>
        <v>581.8823302</v>
      </c>
      <c r="M11" s="51">
        <f t="shared" si="12"/>
        <v>616.79527</v>
      </c>
      <c r="N11" s="43"/>
    </row>
    <row r="12" ht="14.25" customHeight="1">
      <c r="A12" s="44" t="s">
        <v>86</v>
      </c>
      <c r="B12" s="29"/>
      <c r="C12" s="29"/>
      <c r="D12" s="46">
        <f t="shared" ref="D12:F12" si="13">D11/D5</f>
        <v>0.1003308499</v>
      </c>
      <c r="E12" s="46">
        <f t="shared" si="13"/>
        <v>0.1115819622</v>
      </c>
      <c r="F12" s="46">
        <f t="shared" si="13"/>
        <v>0.1369595587</v>
      </c>
      <c r="G12" s="52"/>
      <c r="H12" s="46">
        <f t="shared" ref="H12:M12" si="14">H11/H5</f>
        <v>0.13</v>
      </c>
      <c r="I12" s="46">
        <f t="shared" si="14"/>
        <v>0.13</v>
      </c>
      <c r="J12" s="46">
        <f t="shared" si="14"/>
        <v>0.13</v>
      </c>
      <c r="K12" s="46">
        <f t="shared" si="14"/>
        <v>0.13</v>
      </c>
      <c r="L12" s="46">
        <f t="shared" si="14"/>
        <v>0.13</v>
      </c>
      <c r="M12" s="46">
        <f t="shared" si="14"/>
        <v>0.13</v>
      </c>
      <c r="N12" s="48"/>
    </row>
    <row r="13" ht="14.25" customHeight="1">
      <c r="A13" s="53" t="s">
        <v>89</v>
      </c>
      <c r="B13" s="29"/>
      <c r="C13" s="54">
        <v>0.02</v>
      </c>
      <c r="D13" s="51">
        <f>'Data Sheet'!I26</f>
        <v>35.08</v>
      </c>
      <c r="E13" s="51">
        <f>'Data Sheet'!J26</f>
        <v>35.46</v>
      </c>
      <c r="F13" s="51">
        <f>'Data Sheet'!K26</f>
        <v>41.26</v>
      </c>
      <c r="G13" s="52"/>
      <c r="H13" s="51">
        <f>F13*1.02</f>
        <v>42.0852</v>
      </c>
      <c r="I13" s="51">
        <f t="shared" ref="I13:M13" si="15">H13*1.02</f>
        <v>42.926904</v>
      </c>
      <c r="J13" s="51">
        <f t="shared" si="15"/>
        <v>43.78544208</v>
      </c>
      <c r="K13" s="51">
        <f t="shared" si="15"/>
        <v>44.66115092</v>
      </c>
      <c r="L13" s="51">
        <f t="shared" si="15"/>
        <v>45.55437394</v>
      </c>
      <c r="M13" s="51">
        <f t="shared" si="15"/>
        <v>46.46546142</v>
      </c>
      <c r="N13" s="43"/>
    </row>
    <row r="14" ht="14.25" customHeight="1">
      <c r="A14" s="28" t="s">
        <v>90</v>
      </c>
      <c r="B14" s="28"/>
      <c r="C14" s="28"/>
      <c r="D14" s="42">
        <f t="shared" ref="D14:F14" si="16">+D11-D13</f>
        <v>88.95</v>
      </c>
      <c r="E14" s="42">
        <f t="shared" si="16"/>
        <v>117.26</v>
      </c>
      <c r="F14" s="42">
        <f t="shared" si="16"/>
        <v>264.62</v>
      </c>
      <c r="G14" s="52"/>
      <c r="H14" s="42">
        <f t="shared" ref="H14:M14" si="17">+H11-H13</f>
        <v>251.154968</v>
      </c>
      <c r="I14" s="42">
        <f t="shared" si="17"/>
        <v>338.2853144</v>
      </c>
      <c r="J14" s="42">
        <f t="shared" si="17"/>
        <v>413.66922</v>
      </c>
      <c r="K14" s="42">
        <f t="shared" si="17"/>
        <v>504.2844436</v>
      </c>
      <c r="L14" s="42">
        <f t="shared" si="17"/>
        <v>536.3279562</v>
      </c>
      <c r="M14" s="42">
        <f t="shared" si="17"/>
        <v>570.3298086</v>
      </c>
      <c r="N14" s="43"/>
    </row>
    <row r="15" ht="14.25" customHeight="1">
      <c r="A15" s="44" t="s">
        <v>86</v>
      </c>
      <c r="B15" s="29"/>
      <c r="C15" s="29"/>
      <c r="D15" s="46">
        <f t="shared" ref="D15:F15" si="18">D14/D5</f>
        <v>0.07195379426</v>
      </c>
      <c r="E15" s="46">
        <f t="shared" si="18"/>
        <v>0.08567378788</v>
      </c>
      <c r="F15" s="46">
        <f t="shared" si="18"/>
        <v>0.1184851524</v>
      </c>
      <c r="G15" s="52"/>
      <c r="H15" s="46">
        <f t="shared" ref="H15:M15" si="19">H14/H5</f>
        <v>0.1113426788</v>
      </c>
      <c r="I15" s="46">
        <f t="shared" si="19"/>
        <v>0.1153611788</v>
      </c>
      <c r="J15" s="46">
        <f t="shared" si="19"/>
        <v>0.1175570019</v>
      </c>
      <c r="K15" s="46">
        <f t="shared" si="19"/>
        <v>0.1194234517</v>
      </c>
      <c r="L15" s="46">
        <f t="shared" si="19"/>
        <v>0.1198225667</v>
      </c>
      <c r="M15" s="46">
        <f t="shared" si="19"/>
        <v>0.1202066208</v>
      </c>
      <c r="N15" s="48"/>
    </row>
    <row r="16" ht="14.25" customHeight="1">
      <c r="A16" s="29" t="s">
        <v>91</v>
      </c>
      <c r="B16" s="29"/>
      <c r="C16" s="55">
        <v>0.3</v>
      </c>
      <c r="D16" s="51">
        <f t="shared" ref="D16:F16" si="20">D14*$C$16</f>
        <v>26.685</v>
      </c>
      <c r="E16" s="51">
        <f t="shared" si="20"/>
        <v>35.178</v>
      </c>
      <c r="F16" s="51">
        <f t="shared" si="20"/>
        <v>79.386</v>
      </c>
      <c r="G16" s="52"/>
      <c r="H16" s="51">
        <f t="shared" ref="H16:M16" si="21">H14*$C$16</f>
        <v>75.3464904</v>
      </c>
      <c r="I16" s="51">
        <f t="shared" si="21"/>
        <v>101.4855943</v>
      </c>
      <c r="J16" s="51">
        <f t="shared" si="21"/>
        <v>124.100766</v>
      </c>
      <c r="K16" s="51">
        <f t="shared" si="21"/>
        <v>151.2853331</v>
      </c>
      <c r="L16" s="51">
        <f t="shared" si="21"/>
        <v>160.8983869</v>
      </c>
      <c r="M16" s="51">
        <f t="shared" si="21"/>
        <v>171.0989426</v>
      </c>
      <c r="N16" s="43"/>
    </row>
    <row r="17" ht="14.25" customHeight="1">
      <c r="A17" s="28" t="s">
        <v>92</v>
      </c>
      <c r="B17" s="28"/>
      <c r="C17" s="28"/>
      <c r="D17" s="42">
        <f t="shared" ref="D17:F17" si="22">D14*(1-$C$16)</f>
        <v>62.265</v>
      </c>
      <c r="E17" s="42">
        <f t="shared" si="22"/>
        <v>82.082</v>
      </c>
      <c r="F17" s="42">
        <f t="shared" si="22"/>
        <v>185.234</v>
      </c>
      <c r="G17" s="52"/>
      <c r="H17" s="42">
        <f t="shared" ref="H17:M17" si="23">+H14-H16</f>
        <v>175.8084776</v>
      </c>
      <c r="I17" s="42">
        <f t="shared" si="23"/>
        <v>236.7997201</v>
      </c>
      <c r="J17" s="42">
        <f t="shared" si="23"/>
        <v>289.568454</v>
      </c>
      <c r="K17" s="42">
        <f t="shared" si="23"/>
        <v>352.9991105</v>
      </c>
      <c r="L17" s="42">
        <f t="shared" si="23"/>
        <v>375.4295694</v>
      </c>
      <c r="M17" s="42">
        <f t="shared" si="23"/>
        <v>399.230866</v>
      </c>
      <c r="N17" s="43"/>
    </row>
    <row r="18" ht="14.25" customHeight="1">
      <c r="A18" s="29"/>
      <c r="B18" s="29"/>
      <c r="C18" s="29"/>
      <c r="D18" s="42"/>
      <c r="E18" s="42"/>
      <c r="F18" s="42"/>
      <c r="G18" s="30"/>
      <c r="H18" s="42"/>
      <c r="I18" s="42"/>
      <c r="J18" s="42"/>
      <c r="K18" s="42"/>
      <c r="L18" s="42"/>
      <c r="M18" s="42"/>
      <c r="N18" s="43"/>
    </row>
    <row r="19" ht="14.25" customHeight="1">
      <c r="A19" s="29" t="s">
        <v>93</v>
      </c>
      <c r="B19" s="29"/>
      <c r="C19" s="29"/>
      <c r="D19" s="51">
        <f t="shared" ref="D19:F19" si="24">D13</f>
        <v>35.08</v>
      </c>
      <c r="E19" s="51">
        <f t="shared" si="24"/>
        <v>35.46</v>
      </c>
      <c r="F19" s="51">
        <f t="shared" si="24"/>
        <v>41.26</v>
      </c>
      <c r="G19" s="30"/>
      <c r="H19" s="51">
        <f t="shared" ref="H19:M19" si="25">H13</f>
        <v>42.0852</v>
      </c>
      <c r="I19" s="51">
        <f t="shared" si="25"/>
        <v>42.926904</v>
      </c>
      <c r="J19" s="51">
        <f t="shared" si="25"/>
        <v>43.78544208</v>
      </c>
      <c r="K19" s="51">
        <f t="shared" si="25"/>
        <v>44.66115092</v>
      </c>
      <c r="L19" s="51">
        <f t="shared" si="25"/>
        <v>45.55437394</v>
      </c>
      <c r="M19" s="51">
        <f t="shared" si="25"/>
        <v>46.46546142</v>
      </c>
      <c r="N19" s="43"/>
    </row>
    <row r="20" ht="14.25" customHeight="1">
      <c r="A20" s="29" t="s">
        <v>94</v>
      </c>
      <c r="B20" s="29"/>
      <c r="C20" s="54"/>
      <c r="D20" s="51">
        <f>'Balance Sheet'!I11</f>
        <v>81.33</v>
      </c>
      <c r="E20" s="51">
        <f>'Balance Sheet'!J11</f>
        <v>50.09</v>
      </c>
      <c r="F20" s="51">
        <f>'Balance Sheet'!K11</f>
        <v>20.4</v>
      </c>
      <c r="G20" s="30"/>
      <c r="H20" s="51">
        <f>40</f>
        <v>40</v>
      </c>
      <c r="I20" s="51">
        <f>H20</f>
        <v>40</v>
      </c>
      <c r="J20" s="51">
        <f t="shared" ref="J20:M20" si="26">H20</f>
        <v>40</v>
      </c>
      <c r="K20" s="51">
        <f t="shared" si="26"/>
        <v>40</v>
      </c>
      <c r="L20" s="51">
        <f t="shared" si="26"/>
        <v>40</v>
      </c>
      <c r="M20" s="51">
        <f t="shared" si="26"/>
        <v>40</v>
      </c>
      <c r="N20" s="43"/>
    </row>
    <row r="21" ht="14.25" customHeight="1">
      <c r="A21" s="29" t="s">
        <v>95</v>
      </c>
      <c r="B21" s="29"/>
      <c r="C21" s="29"/>
      <c r="D21" s="29">
        <f>'Balance Sheet'!I26</f>
        <v>51.75</v>
      </c>
      <c r="E21" s="29">
        <f>'Balance Sheet'!J26</f>
        <v>83.45</v>
      </c>
      <c r="F21" s="29">
        <f>'Balance Sheet'!K26</f>
        <v>146.89</v>
      </c>
      <c r="G21" s="29"/>
      <c r="H21" s="8">
        <v>99.78619020914404</v>
      </c>
      <c r="I21" s="8">
        <v>117.1538533020644</v>
      </c>
      <c r="J21" s="8">
        <v>134.5215163949847</v>
      </c>
      <c r="K21" s="8">
        <v>151.88917948790504</v>
      </c>
      <c r="L21" s="8">
        <v>169.25684258082538</v>
      </c>
      <c r="M21" s="8">
        <v>186.62450567374572</v>
      </c>
      <c r="N21" s="43"/>
    </row>
    <row r="22" ht="14.25" customHeight="1">
      <c r="A22" s="29"/>
      <c r="B22" s="29"/>
      <c r="C22" s="29"/>
      <c r="D22" s="29"/>
      <c r="E22" s="29"/>
      <c r="F22" s="29"/>
      <c r="G22" s="28"/>
      <c r="H22" s="51"/>
      <c r="I22" s="51"/>
      <c r="J22" s="51"/>
      <c r="K22" s="51"/>
      <c r="L22" s="51"/>
      <c r="M22" s="51"/>
      <c r="N22" s="43"/>
    </row>
    <row r="23" ht="14.25" customHeight="1">
      <c r="A23" s="28" t="s">
        <v>96</v>
      </c>
      <c r="B23" s="28"/>
      <c r="C23" s="28"/>
      <c r="D23" s="51">
        <f t="shared" ref="D23:F23" si="27">+D17+SUM(D19:D21)</f>
        <v>230.425</v>
      </c>
      <c r="E23" s="51">
        <f t="shared" si="27"/>
        <v>251.082</v>
      </c>
      <c r="F23" s="51">
        <f t="shared" si="27"/>
        <v>393.784</v>
      </c>
      <c r="H23" s="51">
        <f t="shared" ref="H23:M23" si="28">+H17+SUM(H19:H21)</f>
        <v>357.6798678</v>
      </c>
      <c r="I23" s="51">
        <f t="shared" si="28"/>
        <v>436.8804774</v>
      </c>
      <c r="J23" s="51">
        <f t="shared" si="28"/>
        <v>507.8754125</v>
      </c>
      <c r="K23" s="51">
        <f t="shared" si="28"/>
        <v>589.5494409</v>
      </c>
      <c r="L23" s="51">
        <f t="shared" si="28"/>
        <v>630.2407859</v>
      </c>
      <c r="M23" s="51">
        <f t="shared" si="28"/>
        <v>672.3208331</v>
      </c>
      <c r="N23" s="43"/>
    </row>
    <row r="24" ht="14.25" customHeight="1">
      <c r="A24" s="53" t="s">
        <v>97</v>
      </c>
      <c r="B24" s="28"/>
      <c r="C24" s="28"/>
      <c r="D24" s="56">
        <f>C35</f>
        <v>0.09846415239</v>
      </c>
      <c r="E24" s="28"/>
      <c r="F24" s="29"/>
      <c r="G24" s="29"/>
      <c r="H24" s="57"/>
      <c r="I24" s="58"/>
      <c r="J24" s="58"/>
      <c r="K24" s="58"/>
      <c r="L24" s="58"/>
      <c r="M24" s="58"/>
      <c r="N24" s="43"/>
    </row>
    <row r="25" ht="14.25" customHeight="1">
      <c r="A25" s="53" t="s">
        <v>98</v>
      </c>
      <c r="B25" s="28"/>
      <c r="C25" s="28"/>
      <c r="D25" s="58"/>
      <c r="E25" s="28"/>
      <c r="F25" s="28"/>
      <c r="G25" s="28"/>
      <c r="H25" s="57">
        <v>1.0</v>
      </c>
      <c r="I25" s="58">
        <v>2.0</v>
      </c>
      <c r="J25" s="57">
        <v>3.0</v>
      </c>
      <c r="K25" s="58">
        <v>4.0</v>
      </c>
      <c r="L25" s="57">
        <v>5.0</v>
      </c>
      <c r="M25" s="58">
        <v>6.0</v>
      </c>
      <c r="N25" s="43"/>
    </row>
    <row r="26" ht="14.25" customHeight="1">
      <c r="A26" s="53" t="s">
        <v>99</v>
      </c>
      <c r="B26" s="29"/>
      <c r="C26" s="29"/>
      <c r="D26" s="29"/>
      <c r="E26" s="29"/>
      <c r="F26" s="29"/>
      <c r="G26" s="29"/>
      <c r="H26" s="59">
        <f t="shared" ref="H26:M26" si="29">1/((1+$D$24)^(H25))</f>
        <v>0.9103619793</v>
      </c>
      <c r="I26" s="59">
        <f t="shared" si="29"/>
        <v>0.8287589334</v>
      </c>
      <c r="J26" s="59">
        <f t="shared" si="29"/>
        <v>0.754470623</v>
      </c>
      <c r="K26" s="59">
        <f t="shared" si="29"/>
        <v>0.6868413697</v>
      </c>
      <c r="L26" s="59">
        <f t="shared" si="29"/>
        <v>0.6252742688</v>
      </c>
      <c r="M26" s="59">
        <f t="shared" si="29"/>
        <v>0.569225921</v>
      </c>
      <c r="N26" s="60"/>
    </row>
    <row r="27" ht="14.25" customHeight="1">
      <c r="A27" s="61" t="s">
        <v>100</v>
      </c>
      <c r="B27" s="62"/>
      <c r="C27" s="62"/>
      <c r="D27" s="63"/>
      <c r="E27" s="62"/>
      <c r="F27" s="62"/>
      <c r="G27" s="62"/>
      <c r="H27" s="64">
        <f t="shared" ref="H27:M27" si="30">+H23*H26</f>
        <v>325.6181524</v>
      </c>
      <c r="I27" s="64">
        <f t="shared" si="30"/>
        <v>362.0685985</v>
      </c>
      <c r="J27" s="64">
        <f t="shared" si="30"/>
        <v>383.1770789</v>
      </c>
      <c r="K27" s="64">
        <f t="shared" si="30"/>
        <v>404.9269455</v>
      </c>
      <c r="L27" s="64">
        <f t="shared" si="30"/>
        <v>394.0733466</v>
      </c>
      <c r="M27" s="64">
        <f t="shared" si="30"/>
        <v>382.7024454</v>
      </c>
      <c r="N27" s="65"/>
    </row>
    <row r="28" ht="14.25" customHeight="1">
      <c r="A28" s="28"/>
      <c r="B28" s="29"/>
      <c r="C28" s="29"/>
      <c r="D28" s="66"/>
      <c r="E28" s="29"/>
      <c r="F28" s="29"/>
      <c r="G28" s="29"/>
      <c r="H28" s="67"/>
      <c r="I28" s="28"/>
      <c r="J28" s="28"/>
      <c r="K28" s="28"/>
      <c r="L28" s="28"/>
      <c r="M28" s="28"/>
      <c r="N28" s="28"/>
    </row>
    <row r="29" ht="14.25" customHeight="1">
      <c r="A29" s="68"/>
      <c r="B29" s="69"/>
      <c r="C29" s="70" t="s">
        <v>101</v>
      </c>
      <c r="D29" s="71"/>
      <c r="E29" s="72"/>
      <c r="F29" s="72"/>
      <c r="G29" s="29"/>
      <c r="H29" s="67"/>
      <c r="I29" s="28"/>
      <c r="J29" s="28"/>
      <c r="K29" s="28"/>
      <c r="L29" s="28"/>
      <c r="M29" s="28"/>
      <c r="N29" s="28"/>
    </row>
    <row r="30" ht="14.25" customHeight="1">
      <c r="A30" s="28"/>
      <c r="B30" s="29"/>
      <c r="C30" s="29"/>
      <c r="D30" s="66"/>
      <c r="E30" s="29"/>
      <c r="F30" s="29"/>
      <c r="G30" s="29"/>
      <c r="H30" s="67"/>
      <c r="I30" s="28"/>
      <c r="J30" s="28"/>
      <c r="K30" s="28"/>
      <c r="L30" s="28"/>
      <c r="M30" s="28"/>
      <c r="N30" s="28"/>
    </row>
    <row r="31" ht="14.25" customHeight="1">
      <c r="A31" s="28" t="s">
        <v>102</v>
      </c>
      <c r="B31" s="29"/>
      <c r="C31" s="55">
        <v>0.06</v>
      </c>
      <c r="D31" s="66" t="s">
        <v>103</v>
      </c>
      <c r="E31" s="73"/>
      <c r="F31" s="73">
        <v>0.73</v>
      </c>
      <c r="G31" s="29"/>
      <c r="H31" s="67"/>
      <c r="I31" s="28"/>
      <c r="J31" s="28"/>
      <c r="K31" s="28"/>
      <c r="L31" s="28"/>
      <c r="M31" s="28"/>
      <c r="N31" s="28"/>
    </row>
    <row r="32" ht="14.25" customHeight="1">
      <c r="A32" s="28" t="s">
        <v>104</v>
      </c>
      <c r="B32" s="29"/>
      <c r="C32" s="54">
        <f>11%-C31</f>
        <v>0.05</v>
      </c>
      <c r="D32" s="74" t="s">
        <v>105</v>
      </c>
      <c r="E32" s="29"/>
      <c r="F32" s="55">
        <f>'Data Sheet'!K27*(1-0.3)/'Data Sheet'!K59</f>
        <v>0.1342721613</v>
      </c>
      <c r="G32" s="29"/>
      <c r="H32" s="67"/>
      <c r="I32" s="29"/>
      <c r="J32" s="29"/>
      <c r="K32" s="29"/>
      <c r="L32" s="29"/>
      <c r="M32" s="29"/>
      <c r="N32" s="29"/>
    </row>
    <row r="33" ht="14.25" customHeight="1">
      <c r="A33" s="28" t="s">
        <v>106</v>
      </c>
      <c r="B33" s="29"/>
      <c r="C33" s="54">
        <f>5.2%</f>
        <v>0.052</v>
      </c>
      <c r="D33" s="74" t="s">
        <v>107</v>
      </c>
      <c r="E33" s="29"/>
      <c r="F33" s="54">
        <f>1-C33</f>
        <v>0.948</v>
      </c>
      <c r="G33" s="29"/>
      <c r="H33" s="67"/>
      <c r="I33" s="29"/>
      <c r="J33" s="29"/>
      <c r="K33" s="29"/>
      <c r="L33" s="29"/>
      <c r="M33" s="29"/>
      <c r="N33" s="29"/>
    </row>
    <row r="34" ht="14.25" customHeight="1">
      <c r="A34" s="28" t="s">
        <v>108</v>
      </c>
      <c r="B34" s="29"/>
      <c r="C34" s="75">
        <f>C31+(F31*C32)</f>
        <v>0.0965</v>
      </c>
      <c r="D34" s="74"/>
      <c r="E34" s="29"/>
      <c r="F34" s="29"/>
      <c r="G34" s="29"/>
      <c r="H34" s="67"/>
      <c r="I34" s="29"/>
      <c r="J34" s="29"/>
      <c r="K34" s="29"/>
      <c r="L34" s="29"/>
      <c r="M34" s="29"/>
      <c r="N34" s="29"/>
    </row>
    <row r="35" ht="14.25" customHeight="1">
      <c r="A35" s="28" t="s">
        <v>109</v>
      </c>
      <c r="B35" s="29"/>
      <c r="C35" s="75">
        <f>(C33*F32)+(F33*C34)</f>
        <v>0.09846415239</v>
      </c>
      <c r="D35" s="74"/>
      <c r="E35" s="29"/>
      <c r="F35" s="29"/>
      <c r="G35" s="29"/>
      <c r="H35" s="67"/>
      <c r="I35" s="29"/>
      <c r="J35" s="29"/>
      <c r="K35" s="29"/>
      <c r="L35" s="29"/>
      <c r="M35" s="29"/>
      <c r="N35" s="29"/>
    </row>
    <row r="36" ht="14.25" customHeight="1">
      <c r="A36" s="28"/>
      <c r="B36" s="29"/>
      <c r="C36" s="54"/>
      <c r="D36" s="74"/>
      <c r="E36" s="29"/>
      <c r="F36" s="29"/>
      <c r="G36" s="29"/>
      <c r="H36" s="67"/>
      <c r="I36" s="29"/>
      <c r="J36" s="29"/>
      <c r="K36" s="29"/>
      <c r="L36" s="29"/>
      <c r="M36" s="29"/>
      <c r="N36" s="29"/>
    </row>
    <row r="37" ht="14.25" customHeight="1">
      <c r="A37" s="29"/>
      <c r="B37" s="29"/>
      <c r="C37" s="29"/>
      <c r="D37" s="29"/>
      <c r="E37" s="29"/>
      <c r="F37" s="29"/>
      <c r="G37" s="29"/>
      <c r="H37" s="67"/>
      <c r="I37" s="29"/>
      <c r="J37" s="29"/>
      <c r="K37" s="29"/>
      <c r="L37" s="29"/>
      <c r="M37" s="29"/>
      <c r="N37" s="29"/>
    </row>
    <row r="38" ht="14.25" customHeight="1">
      <c r="A38" s="76" t="s">
        <v>110</v>
      </c>
      <c r="B38" s="77"/>
      <c r="C38" s="77"/>
      <c r="D38" s="78"/>
      <c r="E38" s="67"/>
      <c r="F38" s="76" t="s">
        <v>111</v>
      </c>
      <c r="G38" s="77"/>
      <c r="H38" s="77"/>
      <c r="I38" s="78"/>
      <c r="J38" s="67"/>
      <c r="K38" s="76" t="s">
        <v>112</v>
      </c>
      <c r="L38" s="77"/>
      <c r="M38" s="77"/>
      <c r="N38" s="78"/>
    </row>
    <row r="39" ht="14.25" customHeight="1">
      <c r="A39" s="28" t="s">
        <v>113</v>
      </c>
      <c r="B39" s="28"/>
      <c r="C39" s="28"/>
      <c r="D39" s="28">
        <f>+SUM(H27:M27)</f>
        <v>2252.566567</v>
      </c>
      <c r="E39" s="29"/>
      <c r="F39" s="29" t="s">
        <v>110</v>
      </c>
      <c r="G39" s="29"/>
      <c r="H39" s="67"/>
      <c r="I39" s="42">
        <f>+D48</f>
        <v>18706.03542</v>
      </c>
      <c r="J39" s="29"/>
      <c r="K39" s="29" t="str">
        <f>"Terminal Year Free Cash Flow ("&amp;M4&amp;"E)"</f>
        <v>Terminal Year Free Cash Flow (2030E)</v>
      </c>
      <c r="L39" s="29"/>
      <c r="M39" s="29"/>
      <c r="N39" s="51">
        <f>+M23</f>
        <v>672.3208331</v>
      </c>
    </row>
    <row r="40" ht="14.25" customHeight="1">
      <c r="A40" s="74"/>
      <c r="B40" s="29"/>
      <c r="C40" s="29"/>
      <c r="D40" s="74"/>
      <c r="E40" s="29"/>
      <c r="F40" s="29" t="s">
        <v>114</v>
      </c>
      <c r="G40" s="29"/>
      <c r="H40" s="29"/>
      <c r="I40" s="42">
        <f>'Balance Sheet'!K6</f>
        <v>67.46</v>
      </c>
      <c r="J40" s="29"/>
      <c r="K40" s="29" t="s">
        <v>115</v>
      </c>
      <c r="L40" s="29"/>
      <c r="M40" s="29"/>
      <c r="N40" s="79">
        <f>+D24</f>
        <v>0.09846415239</v>
      </c>
    </row>
    <row r="41" ht="14.25" customHeight="1">
      <c r="A41" s="80"/>
      <c r="B41" s="80" t="s">
        <v>116</v>
      </c>
      <c r="C41" s="80"/>
      <c r="D41" s="80"/>
      <c r="E41" s="29"/>
      <c r="F41" s="29" t="s">
        <v>117</v>
      </c>
      <c r="G41" s="29"/>
      <c r="H41" s="29"/>
      <c r="I41" s="42">
        <f>-1</f>
        <v>-1</v>
      </c>
      <c r="J41" s="29"/>
      <c r="K41" s="29" t="s">
        <v>118</v>
      </c>
      <c r="L41" s="29"/>
      <c r="M41" s="29"/>
      <c r="N41" s="51">
        <f>+D44</f>
        <v>28904.98877</v>
      </c>
    </row>
    <row r="42" ht="14.25" customHeight="1">
      <c r="A42" s="29" t="str">
        <f>"Terminal Year EBITDA ("&amp;M4&amp;"E)"</f>
        <v>Terminal Year EBITDA (2030E)</v>
      </c>
      <c r="B42" s="29"/>
      <c r="C42" s="29"/>
      <c r="D42" s="42">
        <f>+M11</f>
        <v>616.79527</v>
      </c>
      <c r="E42" s="29"/>
      <c r="F42" s="29" t="s">
        <v>119</v>
      </c>
      <c r="G42" s="29"/>
      <c r="H42" s="29"/>
      <c r="I42" s="42">
        <f>'Data Sheet'!K69</f>
        <v>234.95</v>
      </c>
      <c r="J42" s="29"/>
      <c r="K42" s="30"/>
      <c r="L42" s="30"/>
      <c r="M42" s="30"/>
      <c r="N42" s="51"/>
    </row>
    <row r="43" ht="14.25" customHeight="1">
      <c r="A43" s="29" t="s">
        <v>120</v>
      </c>
      <c r="B43" s="29"/>
      <c r="C43" s="29"/>
      <c r="D43" s="81">
        <f>N49</f>
        <v>46.86318164</v>
      </c>
      <c r="E43" s="29"/>
      <c r="F43" s="29"/>
      <c r="G43" s="29"/>
      <c r="H43" s="29"/>
      <c r="I43" s="42"/>
      <c r="J43" s="29"/>
      <c r="K43" s="28" t="s">
        <v>121</v>
      </c>
      <c r="L43" s="29"/>
      <c r="M43" s="29"/>
      <c r="N43" s="79">
        <f>(N40-(N39/N41))/(1+(N39/N41))</f>
        <v>0.07349500056</v>
      </c>
    </row>
    <row r="44" ht="14.25" customHeight="1">
      <c r="A44" s="28" t="s">
        <v>122</v>
      </c>
      <c r="B44" s="28"/>
      <c r="C44" s="28"/>
      <c r="D44" s="42">
        <f>+D42*D43</f>
        <v>28904.98877</v>
      </c>
      <c r="E44" s="29"/>
      <c r="F44" s="29"/>
      <c r="G44" s="29"/>
      <c r="H44" s="29"/>
      <c r="I44" s="29" t="s">
        <v>123</v>
      </c>
      <c r="J44" s="29"/>
      <c r="K44" s="29"/>
      <c r="L44" s="29"/>
      <c r="M44" s="29"/>
      <c r="N44" s="51"/>
    </row>
    <row r="45" ht="14.25" customHeight="1">
      <c r="A45" s="29" t="s">
        <v>124</v>
      </c>
      <c r="B45" s="29"/>
      <c r="C45" s="29"/>
      <c r="D45" s="82">
        <f>M26</f>
        <v>0.569225921</v>
      </c>
      <c r="E45" s="29"/>
      <c r="F45" s="28" t="s">
        <v>125</v>
      </c>
      <c r="G45" s="29"/>
      <c r="H45" s="29"/>
      <c r="I45" s="83">
        <f>+I39-I40-I41+I42</f>
        <v>18874.52542</v>
      </c>
      <c r="J45" s="29"/>
      <c r="K45" s="84" t="s">
        <v>126</v>
      </c>
      <c r="L45" s="77"/>
      <c r="M45" s="78"/>
      <c r="N45" s="51"/>
    </row>
    <row r="46" ht="14.25" customHeight="1">
      <c r="A46" s="28" t="s">
        <v>127</v>
      </c>
      <c r="B46" s="28"/>
      <c r="C46" s="28"/>
      <c r="D46" s="42">
        <f>+D44*D45</f>
        <v>16453.46886</v>
      </c>
      <c r="E46" s="29"/>
      <c r="F46" s="29"/>
      <c r="G46" s="29"/>
      <c r="H46" s="29"/>
      <c r="I46" s="29"/>
      <c r="J46" s="29"/>
      <c r="K46" s="29" t="str">
        <f>+F39</f>
        <v>Enterprise Value</v>
      </c>
      <c r="L46" s="29"/>
      <c r="M46" s="29"/>
      <c r="N46" s="51">
        <f>14503+I40+I41-I42</f>
        <v>14334.51</v>
      </c>
    </row>
    <row r="47" ht="14.25" customHeight="1">
      <c r="A47" s="74"/>
      <c r="B47" s="29"/>
      <c r="C47" s="29"/>
      <c r="D47" s="45"/>
      <c r="E47" s="29"/>
      <c r="F47" s="29" t="s">
        <v>128</v>
      </c>
      <c r="G47" s="29"/>
      <c r="H47" s="29"/>
      <c r="I47" s="42">
        <f>'Data Sheet'!K70/10000000</f>
        <v>27.7194946</v>
      </c>
      <c r="J47" s="29"/>
      <c r="K47" s="29" t="s">
        <v>129</v>
      </c>
      <c r="L47" s="29"/>
      <c r="M47" s="29"/>
      <c r="N47" s="60">
        <f>F11</f>
        <v>305.88</v>
      </c>
    </row>
    <row r="48" ht="14.25" customHeight="1">
      <c r="A48" s="28" t="s">
        <v>130</v>
      </c>
      <c r="B48" s="29"/>
      <c r="C48" s="29"/>
      <c r="D48" s="85">
        <f>D46+D39</f>
        <v>18706.03542</v>
      </c>
      <c r="E48" s="29"/>
      <c r="F48" s="29"/>
      <c r="G48" s="29"/>
      <c r="H48" s="29"/>
      <c r="I48" s="29"/>
      <c r="J48" s="29"/>
      <c r="K48" s="29"/>
      <c r="L48" s="29"/>
      <c r="M48" s="29"/>
      <c r="N48" s="60"/>
    </row>
    <row r="49" ht="14.25" customHeight="1">
      <c r="A49" s="28"/>
      <c r="B49" s="28"/>
      <c r="C49" s="28"/>
      <c r="D49" s="29"/>
      <c r="E49" s="29"/>
      <c r="F49" s="28" t="s">
        <v>131</v>
      </c>
      <c r="G49" s="29"/>
      <c r="H49" s="29"/>
      <c r="I49" s="86">
        <f>+IF(ISERROR(I45/I47),"NA",I45/I47)</f>
        <v>680.9116001</v>
      </c>
      <c r="J49" s="29"/>
      <c r="K49" s="28" t="s">
        <v>126</v>
      </c>
      <c r="L49" s="29"/>
      <c r="M49" s="29"/>
      <c r="N49" s="51">
        <f>+IF(ISERROR(N46/N47),"- x",N46/N47)</f>
        <v>46.86318164</v>
      </c>
    </row>
    <row r="50" ht="14.25" customHeight="1">
      <c r="A50" s="80"/>
      <c r="B50" s="80" t="s">
        <v>132</v>
      </c>
      <c r="C50" s="80"/>
      <c r="D50" s="80"/>
      <c r="E50" s="29"/>
      <c r="F50" s="28"/>
      <c r="G50" s="29"/>
      <c r="H50" s="29"/>
      <c r="I50" s="29"/>
      <c r="J50" s="29"/>
      <c r="K50" s="28"/>
      <c r="L50" s="29"/>
      <c r="M50" s="29"/>
    </row>
    <row r="51" ht="14.25" customHeight="1">
      <c r="A51" s="29" t="str">
        <f>"Terminal Year Cash Flow"</f>
        <v>Terminal Year Cash Flow</v>
      </c>
      <c r="B51" s="29"/>
      <c r="C51" s="29"/>
      <c r="D51" s="42">
        <f>+M23</f>
        <v>672.3208331</v>
      </c>
      <c r="E51" s="29"/>
      <c r="F51" s="28" t="s">
        <v>133</v>
      </c>
      <c r="G51" s="29"/>
      <c r="H51" s="29"/>
      <c r="I51" s="87">
        <v>523.0</v>
      </c>
      <c r="J51" s="29"/>
      <c r="K51" s="28"/>
      <c r="L51" s="29"/>
      <c r="M51" s="29"/>
    </row>
    <row r="52" ht="14.25" customHeight="1">
      <c r="A52" s="29" t="s">
        <v>134</v>
      </c>
      <c r="B52" s="29"/>
      <c r="C52" s="29"/>
      <c r="D52" s="75">
        <f>N43</f>
        <v>0.07349500056</v>
      </c>
      <c r="E52" s="29"/>
      <c r="F52" s="28"/>
      <c r="G52" s="29"/>
      <c r="H52" s="29"/>
      <c r="I52" s="29"/>
      <c r="J52" s="29"/>
      <c r="K52" s="28"/>
      <c r="L52" s="29"/>
      <c r="M52" s="29"/>
    </row>
    <row r="53" ht="14.25" customHeight="1">
      <c r="A53" s="28" t="s">
        <v>122</v>
      </c>
      <c r="B53" s="28"/>
      <c r="C53" s="28"/>
      <c r="D53" s="42">
        <f>+IF(ISERROR(D51/(D24-D52)),0,D51/(D24-D52))</f>
        <v>26926.05812</v>
      </c>
      <c r="E53" s="29"/>
      <c r="F53" s="28" t="s">
        <v>135</v>
      </c>
      <c r="G53" s="29"/>
      <c r="H53" s="29"/>
      <c r="I53" s="87">
        <f>(I49-I51)*I47</f>
        <v>4377.229747</v>
      </c>
      <c r="J53" s="29"/>
      <c r="K53" s="28"/>
      <c r="L53" s="29"/>
      <c r="M53" s="29"/>
    </row>
    <row r="54" ht="14.25" customHeight="1">
      <c r="A54" s="29" t="s">
        <v>124</v>
      </c>
      <c r="B54" s="29"/>
      <c r="C54" s="29"/>
      <c r="D54" s="82">
        <f>M26</f>
        <v>0.569225921</v>
      </c>
      <c r="E54" s="29"/>
      <c r="F54" s="28"/>
      <c r="G54" s="29"/>
      <c r="H54" s="29"/>
      <c r="I54" s="29"/>
      <c r="J54" s="29"/>
      <c r="K54" s="28"/>
      <c r="L54" s="29"/>
      <c r="M54" s="29"/>
    </row>
    <row r="55" ht="14.25" customHeight="1">
      <c r="A55" s="28" t="s">
        <v>127</v>
      </c>
      <c r="B55" s="28"/>
      <c r="C55" s="28"/>
      <c r="D55" s="42">
        <f>+D53*D54</f>
        <v>15327.01023</v>
      </c>
      <c r="E55" s="29"/>
      <c r="F55" s="28"/>
      <c r="G55" s="29"/>
      <c r="H55" s="29"/>
      <c r="I55" s="29"/>
      <c r="J55" s="29"/>
      <c r="K55" s="28"/>
      <c r="L55" s="29"/>
      <c r="M55" s="29"/>
    </row>
    <row r="56" ht="14.25" customHeight="1">
      <c r="A56" s="74"/>
      <c r="B56" s="29"/>
      <c r="C56" s="29"/>
      <c r="D56" s="45"/>
      <c r="E56" s="29"/>
      <c r="F56" s="29"/>
      <c r="G56" s="29"/>
      <c r="H56" s="29"/>
      <c r="I56" s="29"/>
      <c r="J56" s="29"/>
      <c r="K56" s="29"/>
      <c r="L56" s="29"/>
      <c r="M56" s="29"/>
    </row>
    <row r="57" ht="14.25" customHeight="1">
      <c r="A57" s="28" t="s">
        <v>136</v>
      </c>
      <c r="B57" s="29"/>
      <c r="C57" s="29"/>
      <c r="D57" s="83">
        <f>D55+D39</f>
        <v>17579.5768</v>
      </c>
      <c r="E57" s="29"/>
      <c r="F57" s="29"/>
      <c r="G57" s="29"/>
      <c r="H57" s="29"/>
      <c r="I57" s="29"/>
      <c r="J57" s="29"/>
      <c r="K57" s="29"/>
      <c r="L57" s="29"/>
      <c r="M57" s="29"/>
    </row>
    <row r="58" ht="14.25" customHeight="1"/>
    <row r="59" ht="14.25" customHeight="1"/>
    <row r="60" ht="14.25" customHeight="1">
      <c r="A60" s="88" t="s">
        <v>137</v>
      </c>
      <c r="B60" s="88"/>
      <c r="C60" s="88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D3:F3"/>
    <mergeCell ref="I3:M3"/>
    <mergeCell ref="A38:D38"/>
    <mergeCell ref="F38:I38"/>
    <mergeCell ref="K38:N38"/>
    <mergeCell ref="K45:M4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71"/>
    <col customWidth="1" min="3" max="3" width="9.86"/>
    <col customWidth="1" min="4" max="4" width="24.0"/>
    <col customWidth="1" min="5" max="5" width="24.14"/>
    <col customWidth="1" min="6" max="26" width="8.71"/>
  </cols>
  <sheetData>
    <row r="1" ht="14.25" customHeight="1">
      <c r="A1" s="89" t="s">
        <v>138</v>
      </c>
      <c r="B1" s="89" t="s">
        <v>139</v>
      </c>
      <c r="C1" s="89" t="s">
        <v>140</v>
      </c>
      <c r="D1" s="89" t="s">
        <v>141</v>
      </c>
      <c r="E1" s="89" t="s">
        <v>142</v>
      </c>
    </row>
    <row r="2" ht="14.25" customHeight="1">
      <c r="A2" s="90">
        <v>42460.0</v>
      </c>
      <c r="B2" s="91">
        <v>-56.629999999999995</v>
      </c>
      <c r="C2" s="89"/>
      <c r="D2" s="89"/>
      <c r="E2" s="89"/>
    </row>
    <row r="3" ht="14.25" customHeight="1">
      <c r="A3" s="90">
        <v>42825.0</v>
      </c>
      <c r="B3" s="91">
        <v>63.22000000000003</v>
      </c>
      <c r="C3" s="89"/>
      <c r="D3" s="89"/>
      <c r="E3" s="89"/>
    </row>
    <row r="4" ht="14.25" customHeight="1">
      <c r="A4" s="90">
        <v>43190.0</v>
      </c>
      <c r="B4" s="91">
        <v>-26.260000000000105</v>
      </c>
      <c r="C4" s="89"/>
      <c r="D4" s="89"/>
      <c r="E4" s="89"/>
    </row>
    <row r="5" ht="14.25" customHeight="1">
      <c r="A5" s="90">
        <v>43555.0</v>
      </c>
      <c r="B5" s="91">
        <v>-88.68999999999994</v>
      </c>
      <c r="C5" s="89"/>
      <c r="D5" s="89"/>
      <c r="E5" s="89"/>
    </row>
    <row r="6" ht="14.25" customHeight="1">
      <c r="A6" s="90">
        <v>43921.0</v>
      </c>
      <c r="B6" s="91">
        <v>-37.99000000000012</v>
      </c>
      <c r="C6" s="89"/>
      <c r="D6" s="89"/>
      <c r="E6" s="89"/>
    </row>
    <row r="7" ht="14.25" customHeight="1">
      <c r="A7" s="90">
        <v>44286.0</v>
      </c>
      <c r="B7" s="91">
        <v>-74.06999999999982</v>
      </c>
      <c r="C7" s="89"/>
      <c r="D7" s="89"/>
      <c r="E7" s="89"/>
    </row>
    <row r="8" ht="14.25" customHeight="1">
      <c r="A8" s="90">
        <v>44651.0</v>
      </c>
      <c r="B8" s="91">
        <v>51.749999999999886</v>
      </c>
      <c r="C8" s="89"/>
      <c r="D8" s="89"/>
      <c r="E8" s="89"/>
    </row>
    <row r="9" ht="14.25" customHeight="1">
      <c r="A9" s="90">
        <v>45016.0</v>
      </c>
      <c r="B9" s="91">
        <v>83.45000000000005</v>
      </c>
      <c r="C9" s="89"/>
      <c r="D9" s="89"/>
      <c r="E9" s="89"/>
    </row>
    <row r="10" ht="14.25" customHeight="1">
      <c r="A10" s="90">
        <v>45382.0</v>
      </c>
      <c r="B10" s="91">
        <v>146.89</v>
      </c>
      <c r="C10" s="91">
        <v>146.89</v>
      </c>
      <c r="D10" s="91">
        <v>146.89</v>
      </c>
      <c r="E10" s="91">
        <v>146.89</v>
      </c>
    </row>
    <row r="11" ht="14.25" customHeight="1">
      <c r="A11" s="90">
        <v>45747.0</v>
      </c>
      <c r="B11" s="89"/>
      <c r="C11" s="91" t="str">
        <f t="shared" ref="C11:C16" si="1">_xlfn.FORECAST.ETS(A11,$B$2:$B$10,$A$2:$A$10,1,1)</f>
        <v>#NAME?</v>
      </c>
      <c r="D11" s="91" t="str">
        <f t="shared" ref="D11:D16" si="2">C11-_xlfn.FORECAST.ETS.CONFINT(A11,$B$2:$B$10,$A$2:$A$10,0.95,1,1)</f>
        <v>#NAME?</v>
      </c>
      <c r="E11" s="91" t="str">
        <f t="shared" ref="E11:E16" si="3">C11+_xlfn.FORECAST.ETS.CONFINT(A11,$B$2:$B$10,$A$2:$A$10,0.95,1,1)</f>
        <v>#NAME?</v>
      </c>
    </row>
    <row r="12" ht="14.25" customHeight="1">
      <c r="A12" s="90">
        <v>46112.0</v>
      </c>
      <c r="B12" s="89"/>
      <c r="C12" s="91" t="str">
        <f t="shared" si="1"/>
        <v>#NAME?</v>
      </c>
      <c r="D12" s="91" t="str">
        <f t="shared" si="2"/>
        <v>#NAME?</v>
      </c>
      <c r="E12" s="91" t="str">
        <f t="shared" si="3"/>
        <v>#NAME?</v>
      </c>
    </row>
    <row r="13" ht="14.25" customHeight="1">
      <c r="A13" s="90">
        <v>46477.0</v>
      </c>
      <c r="B13" s="89"/>
      <c r="C13" s="91" t="str">
        <f t="shared" si="1"/>
        <v>#NAME?</v>
      </c>
      <c r="D13" s="91" t="str">
        <f t="shared" si="2"/>
        <v>#NAME?</v>
      </c>
      <c r="E13" s="91" t="str">
        <f t="shared" si="3"/>
        <v>#NAME?</v>
      </c>
    </row>
    <row r="14" ht="14.25" customHeight="1">
      <c r="A14" s="90">
        <v>46843.0</v>
      </c>
      <c r="B14" s="89"/>
      <c r="C14" s="91" t="str">
        <f t="shared" si="1"/>
        <v>#NAME?</v>
      </c>
      <c r="D14" s="91" t="str">
        <f t="shared" si="2"/>
        <v>#NAME?</v>
      </c>
      <c r="E14" s="91" t="str">
        <f t="shared" si="3"/>
        <v>#NAME?</v>
      </c>
    </row>
    <row r="15" ht="14.25" customHeight="1">
      <c r="A15" s="90">
        <v>47208.0</v>
      </c>
      <c r="B15" s="89"/>
      <c r="C15" s="91" t="str">
        <f t="shared" si="1"/>
        <v>#NAME?</v>
      </c>
      <c r="D15" s="91" t="str">
        <f t="shared" si="2"/>
        <v>#NAME?</v>
      </c>
      <c r="E15" s="91" t="str">
        <f t="shared" si="3"/>
        <v>#NAME?</v>
      </c>
    </row>
    <row r="16" ht="14.25" customHeight="1">
      <c r="A16" s="90">
        <v>47573.0</v>
      </c>
      <c r="B16" s="89"/>
      <c r="C16" s="91" t="str">
        <f t="shared" si="1"/>
        <v>#NAME?</v>
      </c>
      <c r="D16" s="91" t="str">
        <f t="shared" si="2"/>
        <v>#NAME?</v>
      </c>
      <c r="E16" s="91" t="str">
        <f t="shared" si="3"/>
        <v>#NAME?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2012-08-17T09:55:37Z</dcterms:created>
  <dc:creator>Pratyush</dc:creator>
</cp:coreProperties>
</file>