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45C7F5B-444F-4996-900D-643F4F97C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st merger" sheetId="9" r:id="rId1"/>
    <sheet name="Synergy" sheetId="10" r:id="rId2"/>
  </sheets>
  <externalReferences>
    <externalReference r:id="rId3"/>
  </externalReferences>
  <definedNames>
    <definedName name="UPDATE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0" i="10" l="1"/>
  <c r="B8" i="10"/>
  <c r="E8" i="10"/>
  <c r="D8" i="10"/>
  <c r="C8" i="10"/>
  <c r="G71" i="9"/>
  <c r="C71" i="9"/>
  <c r="D71" i="9"/>
  <c r="E71" i="9"/>
  <c r="F71" i="9"/>
  <c r="C94" i="9"/>
  <c r="D94" i="9" s="1"/>
  <c r="E94" i="9" s="1"/>
  <c r="F94" i="9" s="1"/>
  <c r="G94" i="9" s="1"/>
  <c r="B35" i="9"/>
  <c r="B62" i="9" s="1"/>
  <c r="B36" i="9"/>
  <c r="B63" i="9" s="1"/>
  <c r="C10" i="9"/>
  <c r="E10" i="9" s="1"/>
  <c r="C11" i="9"/>
  <c r="E11" i="9" s="1"/>
  <c r="G11" i="9" s="1"/>
  <c r="C12" i="9"/>
  <c r="E12" i="9"/>
  <c r="G12" i="9" s="1"/>
  <c r="B13" i="9"/>
  <c r="B16" i="9" s="1"/>
  <c r="C13" i="9"/>
  <c r="C14" i="9"/>
  <c r="E14" i="9"/>
  <c r="G14" i="9" s="1"/>
  <c r="C15" i="9"/>
  <c r="E15" i="9"/>
  <c r="G15" i="9" s="1"/>
  <c r="B17" i="9"/>
  <c r="C17" i="9" s="1"/>
  <c r="E17" i="9" s="1"/>
  <c r="G17" i="9" s="1"/>
  <c r="B18" i="9"/>
  <c r="C18" i="9" s="1"/>
  <c r="E18" i="9" s="1"/>
  <c r="G18" i="9" s="1"/>
  <c r="C23" i="9"/>
  <c r="E23" i="9"/>
  <c r="G23" i="9"/>
  <c r="C25" i="9"/>
  <c r="G27" i="9"/>
  <c r="B145" i="9" s="1"/>
  <c r="C145" i="9" s="1"/>
  <c r="D145" i="9" s="1"/>
  <c r="E145" i="9" s="1"/>
  <c r="F145" i="9" s="1"/>
  <c r="G145" i="9" s="1"/>
  <c r="B50" i="9"/>
  <c r="B52" i="9" s="1"/>
  <c r="B51" i="9"/>
  <c r="B65" i="9"/>
  <c r="B66" i="9"/>
  <c r="B99" i="9" s="1"/>
  <c r="C99" i="9" s="1"/>
  <c r="D99" i="9" s="1"/>
  <c r="E99" i="9" s="1"/>
  <c r="F99" i="9" s="1"/>
  <c r="G99" i="9" s="1"/>
  <c r="B67" i="9"/>
  <c r="C67" i="9" s="1"/>
  <c r="D67" i="9" s="1"/>
  <c r="E67" i="9" s="1"/>
  <c r="F67" i="9" s="1"/>
  <c r="G67" i="9" s="1"/>
  <c r="B68" i="9"/>
  <c r="B101" i="9" s="1"/>
  <c r="C101" i="9" s="1"/>
  <c r="D101" i="9" s="1"/>
  <c r="E101" i="9" s="1"/>
  <c r="F101" i="9" s="1"/>
  <c r="G101" i="9" s="1"/>
  <c r="B69" i="9"/>
  <c r="B70" i="9"/>
  <c r="B71" i="9" s="1"/>
  <c r="B72" i="9"/>
  <c r="B77" i="9"/>
  <c r="B78" i="9"/>
  <c r="C78" i="9"/>
  <c r="D78" i="9"/>
  <c r="E78" i="9" s="1"/>
  <c r="F78" i="9" s="1"/>
  <c r="G78" i="9" s="1"/>
  <c r="B98" i="9"/>
  <c r="B100" i="9"/>
  <c r="C100" i="9" s="1"/>
  <c r="D100" i="9" s="1"/>
  <c r="E100" i="9" s="1"/>
  <c r="F100" i="9" s="1"/>
  <c r="G100" i="9" s="1"/>
  <c r="B102" i="9"/>
  <c r="B103" i="9"/>
  <c r="B105" i="9"/>
  <c r="B111" i="9"/>
  <c r="C111" i="9" s="1"/>
  <c r="D111" i="9" s="1"/>
  <c r="E111" i="9" s="1"/>
  <c r="F111" i="9" s="1"/>
  <c r="G111" i="9" s="1"/>
  <c r="O81" i="9"/>
  <c r="N81" i="9"/>
  <c r="P108" i="9"/>
  <c r="Q108" i="9" s="1"/>
  <c r="N108" i="9"/>
  <c r="O108" i="9" s="1"/>
  <c r="O71" i="9"/>
  <c r="L55" i="9"/>
  <c r="M12" i="9"/>
  <c r="M23" i="9" s="1"/>
  <c r="L12" i="9"/>
  <c r="L23" i="9" s="1"/>
  <c r="M13" i="9"/>
  <c r="N13" i="9" s="1"/>
  <c r="M48" i="9" s="1"/>
  <c r="L13" i="9"/>
  <c r="L48" i="9" s="1"/>
  <c r="M9" i="9"/>
  <c r="N9" i="9" s="1"/>
  <c r="M45" i="9" s="1"/>
  <c r="L9" i="9"/>
  <c r="L98" i="9" s="1"/>
  <c r="B138" i="9"/>
  <c r="B136" i="9"/>
  <c r="B135" i="9"/>
  <c r="B133" i="9"/>
  <c r="C133" i="9" s="1"/>
  <c r="D133" i="9" s="1"/>
  <c r="E133" i="9" s="1"/>
  <c r="F133" i="9" s="1"/>
  <c r="G133" i="9" s="1"/>
  <c r="B132" i="9"/>
  <c r="C132" i="9" s="1"/>
  <c r="D132" i="9" s="1"/>
  <c r="E132" i="9" s="1"/>
  <c r="F132" i="9" s="1"/>
  <c r="G132" i="9" s="1"/>
  <c r="B131" i="9"/>
  <c r="C131" i="9" s="1"/>
  <c r="D131" i="9" s="1"/>
  <c r="E131" i="9" s="1"/>
  <c r="F131" i="9" s="1"/>
  <c r="G131" i="9" s="1"/>
  <c r="B130" i="9"/>
  <c r="B144" i="9"/>
  <c r="C68" i="9" l="1"/>
  <c r="D68" i="9" s="1"/>
  <c r="E68" i="9" s="1"/>
  <c r="F68" i="9" s="1"/>
  <c r="G68" i="9" s="1"/>
  <c r="C66" i="9"/>
  <c r="D66" i="9" s="1"/>
  <c r="E66" i="9" s="1"/>
  <c r="F66" i="9" s="1"/>
  <c r="G66" i="9" s="1"/>
  <c r="C16" i="9"/>
  <c r="C19" i="9" s="1"/>
  <c r="E19" i="9" s="1"/>
  <c r="G19" i="9" s="1"/>
  <c r="B128" i="9"/>
  <c r="B109" i="9"/>
  <c r="C109" i="9" s="1"/>
  <c r="D109" i="9" s="1"/>
  <c r="E109" i="9" s="1"/>
  <c r="F109" i="9" s="1"/>
  <c r="G109" i="9" s="1"/>
  <c r="B96" i="9"/>
  <c r="B47" i="9"/>
  <c r="B37" i="9"/>
  <c r="B43" i="9" s="1"/>
  <c r="B45" i="9" s="1"/>
  <c r="B46" i="9" s="1"/>
  <c r="B95" i="9"/>
  <c r="E16" i="9"/>
  <c r="G16" i="9" s="1"/>
  <c r="F22" i="9"/>
  <c r="D23" i="9"/>
  <c r="B19" i="9"/>
  <c r="H22" i="9"/>
  <c r="F23" i="9"/>
  <c r="H23" i="9"/>
  <c r="D22" i="9"/>
  <c r="G10" i="9"/>
  <c r="G25" i="9" s="1"/>
  <c r="E25" i="9"/>
  <c r="C26" i="9"/>
  <c r="C27" i="9" s="1"/>
  <c r="B79" i="9" s="1"/>
  <c r="E13" i="9"/>
  <c r="B127" i="9"/>
  <c r="M101" i="9"/>
  <c r="M98" i="9"/>
  <c r="O98" i="9" s="1"/>
  <c r="L101" i="9"/>
  <c r="L71" i="9"/>
  <c r="O77" i="9" s="1"/>
  <c r="M71" i="9"/>
  <c r="N71" i="9" s="1"/>
  <c r="M74" i="9"/>
  <c r="O76" i="9" s="1"/>
  <c r="L74" i="9"/>
  <c r="M22" i="9"/>
  <c r="M24" i="9" s="1"/>
  <c r="L25" i="9"/>
  <c r="M25" i="9"/>
  <c r="L45" i="9"/>
  <c r="L51" i="9" s="1"/>
  <c r="L22" i="9"/>
  <c r="L11" i="9"/>
  <c r="M11" i="9"/>
  <c r="M10" i="9" s="1"/>
  <c r="O13" i="9"/>
  <c r="O8" i="9"/>
  <c r="P9" i="9"/>
  <c r="B146" i="9"/>
  <c r="C144" i="9"/>
  <c r="N98" i="9" l="1"/>
  <c r="B97" i="9"/>
  <c r="C97" i="9" s="1"/>
  <c r="D97" i="9" s="1"/>
  <c r="E97" i="9" s="1"/>
  <c r="F97" i="9" s="1"/>
  <c r="G97" i="9" s="1"/>
  <c r="C126" i="9"/>
  <c r="D126" i="9" s="1"/>
  <c r="E126" i="9" s="1"/>
  <c r="F126" i="9" s="1"/>
  <c r="G126" i="9" s="1"/>
  <c r="B142" i="9"/>
  <c r="B129" i="9"/>
  <c r="C61" i="9"/>
  <c r="D61" i="9" s="1"/>
  <c r="E61" i="9" s="1"/>
  <c r="F61" i="9" s="1"/>
  <c r="G61" i="9" s="1"/>
  <c r="B76" i="9"/>
  <c r="C76" i="9" s="1"/>
  <c r="D76" i="9" s="1"/>
  <c r="E76" i="9" s="1"/>
  <c r="F76" i="9" s="1"/>
  <c r="G76" i="9" s="1"/>
  <c r="N103" i="9"/>
  <c r="O103" i="9"/>
  <c r="B64" i="9"/>
  <c r="C64" i="9" s="1"/>
  <c r="G13" i="9"/>
  <c r="G26" i="9" s="1"/>
  <c r="E26" i="9"/>
  <c r="E27" i="9" s="1"/>
  <c r="B112" i="9" s="1"/>
  <c r="C79" i="9"/>
  <c r="B80" i="9"/>
  <c r="B106" i="9"/>
  <c r="B107" i="9" s="1"/>
  <c r="O104" i="9"/>
  <c r="O105" i="9" s="1"/>
  <c r="O106" i="9" s="1"/>
  <c r="N76" i="9"/>
  <c r="Q98" i="9"/>
  <c r="P98" i="9"/>
  <c r="O78" i="9"/>
  <c r="L75" i="9"/>
  <c r="L102" i="9"/>
  <c r="L100" i="9" s="1"/>
  <c r="O74" i="9"/>
  <c r="O79" i="9"/>
  <c r="M26" i="9"/>
  <c r="M75" i="9"/>
  <c r="M73" i="9" s="1"/>
  <c r="M72" i="9" s="1"/>
  <c r="M102" i="9"/>
  <c r="L28" i="9"/>
  <c r="L29" i="9" s="1"/>
  <c r="N25" i="9" s="1"/>
  <c r="N27" i="9"/>
  <c r="L26" i="9"/>
  <c r="L49" i="9"/>
  <c r="L47" i="9" s="1"/>
  <c r="N58" i="9" s="1"/>
  <c r="P13" i="9"/>
  <c r="N104" i="9"/>
  <c r="N105" i="9" s="1"/>
  <c r="N106" i="9" s="1"/>
  <c r="N77" i="9"/>
  <c r="N78" i="9" s="1"/>
  <c r="N79" i="9" s="1"/>
  <c r="N10" i="9"/>
  <c r="M49" i="9" s="1"/>
  <c r="O10" i="9"/>
  <c r="P10" i="9" s="1"/>
  <c r="C146" i="9"/>
  <c r="D144" i="9"/>
  <c r="N54" i="9" l="1"/>
  <c r="N49" i="9" s="1"/>
  <c r="L46" i="9"/>
  <c r="D64" i="9"/>
  <c r="C73" i="9"/>
  <c r="C74" i="9" s="1"/>
  <c r="B139" i="9"/>
  <c r="C129" i="9"/>
  <c r="D129" i="9" s="1"/>
  <c r="E129" i="9" s="1"/>
  <c r="F129" i="9" s="1"/>
  <c r="G129" i="9" s="1"/>
  <c r="C142" i="9"/>
  <c r="B149" i="9"/>
  <c r="C106" i="9"/>
  <c r="C107" i="9" s="1"/>
  <c r="B108" i="9"/>
  <c r="C80" i="9"/>
  <c r="D79" i="9"/>
  <c r="C112" i="9"/>
  <c r="B113" i="9"/>
  <c r="B83" i="9"/>
  <c r="B73" i="9"/>
  <c r="B74" i="9" s="1"/>
  <c r="B116" i="9"/>
  <c r="P103" i="9"/>
  <c r="P104" i="9"/>
  <c r="P105" i="9" s="1"/>
  <c r="P106" i="9" s="1"/>
  <c r="Q103" i="9"/>
  <c r="Q104" i="9"/>
  <c r="Q105" i="9" s="1"/>
  <c r="Q106" i="9" s="1"/>
  <c r="N102" i="9"/>
  <c r="P102" i="9" s="1"/>
  <c r="N74" i="9"/>
  <c r="N30" i="9"/>
  <c r="N80" i="9"/>
  <c r="N75" i="9"/>
  <c r="L73" i="9"/>
  <c r="M100" i="9"/>
  <c r="M99" i="9" s="1"/>
  <c r="N11" i="9"/>
  <c r="N12" i="9" s="1"/>
  <c r="N111" i="9"/>
  <c r="O111" i="9" s="1"/>
  <c r="P111" i="9" s="1"/>
  <c r="Q111" i="9" s="1"/>
  <c r="L99" i="9"/>
  <c r="O11" i="9"/>
  <c r="O12" i="9" s="1"/>
  <c r="D146" i="9"/>
  <c r="E144" i="9"/>
  <c r="N56" i="9" l="1"/>
  <c r="D139" i="9"/>
  <c r="D140" i="9" s="1"/>
  <c r="D141" i="9" s="1"/>
  <c r="D148" i="9" s="1"/>
  <c r="N107" i="9"/>
  <c r="N109" i="9" s="1"/>
  <c r="N110" i="9" s="1"/>
  <c r="C139" i="9"/>
  <c r="C140" i="9" s="1"/>
  <c r="C141" i="9" s="1"/>
  <c r="C148" i="9" s="1"/>
  <c r="O102" i="9"/>
  <c r="O107" i="9" s="1"/>
  <c r="O109" i="9" s="1"/>
  <c r="O110" i="9" s="1"/>
  <c r="D142" i="9"/>
  <c r="C149" i="9"/>
  <c r="B140" i="9"/>
  <c r="B141" i="9" s="1"/>
  <c r="B148" i="9" s="1"/>
  <c r="E64" i="9"/>
  <c r="D73" i="9"/>
  <c r="D74" i="9" s="1"/>
  <c r="B75" i="9"/>
  <c r="B82" i="9" s="1"/>
  <c r="B85" i="9" s="1"/>
  <c r="C83" i="9"/>
  <c r="D112" i="9"/>
  <c r="C113" i="9"/>
  <c r="E79" i="9"/>
  <c r="D80" i="9"/>
  <c r="C108" i="9"/>
  <c r="D106" i="9"/>
  <c r="D107" i="9" s="1"/>
  <c r="C116" i="9"/>
  <c r="O75" i="9"/>
  <c r="O73" i="9" s="1"/>
  <c r="N73" i="9"/>
  <c r="N84" i="9"/>
  <c r="O84" i="9" s="1"/>
  <c r="L72" i="9"/>
  <c r="N82" i="9"/>
  <c r="N83" i="9" s="1"/>
  <c r="O80" i="9"/>
  <c r="O82" i="9" s="1"/>
  <c r="O83" i="9" s="1"/>
  <c r="D116" i="9"/>
  <c r="P107" i="9"/>
  <c r="P109" i="9" s="1"/>
  <c r="Q102" i="9"/>
  <c r="B115" i="9"/>
  <c r="B118" i="9" s="1"/>
  <c r="P11" i="9"/>
  <c r="P12" i="9" s="1"/>
  <c r="F144" i="9"/>
  <c r="E146" i="9"/>
  <c r="E139" i="9"/>
  <c r="E140" i="9" s="1"/>
  <c r="N85" i="9" l="1"/>
  <c r="O85" i="9"/>
  <c r="C152" i="9"/>
  <c r="C153" i="9" s="1"/>
  <c r="C151" i="9"/>
  <c r="F64" i="9"/>
  <c r="E73" i="9"/>
  <c r="E74" i="9" s="1"/>
  <c r="B152" i="9"/>
  <c r="B153" i="9" s="1"/>
  <c r="B151" i="9"/>
  <c r="E142" i="9"/>
  <c r="D149" i="9"/>
  <c r="D151" i="9" s="1"/>
  <c r="B86" i="9"/>
  <c r="B87" i="9" s="1"/>
  <c r="E106" i="9"/>
  <c r="E107" i="9" s="1"/>
  <c r="D108" i="9"/>
  <c r="F79" i="9"/>
  <c r="E80" i="9"/>
  <c r="E112" i="9"/>
  <c r="D113" i="9"/>
  <c r="D83" i="9"/>
  <c r="C115" i="9"/>
  <c r="C118" i="9" s="1"/>
  <c r="E116" i="9"/>
  <c r="B119" i="9"/>
  <c r="B120" i="9" s="1"/>
  <c r="N50" i="9"/>
  <c r="L52" i="9"/>
  <c r="N53" i="9" s="1"/>
  <c r="M47" i="9"/>
  <c r="M46" i="9" s="1"/>
  <c r="Q107" i="9"/>
  <c r="Q109" i="9" s="1"/>
  <c r="G144" i="9"/>
  <c r="G146" i="9" s="1"/>
  <c r="F146" i="9"/>
  <c r="E141" i="9"/>
  <c r="E148" i="9" s="1"/>
  <c r="G139" i="9"/>
  <c r="G140" i="9" s="1"/>
  <c r="F139" i="9"/>
  <c r="F140" i="9" s="1"/>
  <c r="D152" i="9" l="1"/>
  <c r="D153" i="9" s="1"/>
  <c r="F142" i="9"/>
  <c r="E149" i="9"/>
  <c r="E151" i="9" s="1"/>
  <c r="G64" i="9"/>
  <c r="G73" i="9" s="1"/>
  <c r="G74" i="9" s="1"/>
  <c r="F73" i="9"/>
  <c r="F74" i="9" s="1"/>
  <c r="C119" i="9"/>
  <c r="C120" i="9" s="1"/>
  <c r="E83" i="9"/>
  <c r="F112" i="9"/>
  <c r="E113" i="9"/>
  <c r="F80" i="9"/>
  <c r="G79" i="9"/>
  <c r="G80" i="9" s="1"/>
  <c r="E108" i="9"/>
  <c r="F106" i="9"/>
  <c r="F107" i="9" s="1"/>
  <c r="G106" i="9"/>
  <c r="G107" i="9" s="1"/>
  <c r="G116" i="9"/>
  <c r="F116" i="9"/>
  <c r="D115" i="9"/>
  <c r="D118" i="9" s="1"/>
  <c r="N48" i="9"/>
  <c r="N47" i="9" s="1"/>
  <c r="N57" i="9"/>
  <c r="N59" i="9" s="1"/>
  <c r="F141" i="9"/>
  <c r="F148" i="9" s="1"/>
  <c r="G141" i="9"/>
  <c r="G148" i="9" s="1"/>
  <c r="E152" i="9" l="1"/>
  <c r="E153" i="9" s="1"/>
  <c r="G142" i="9"/>
  <c r="G149" i="9" s="1"/>
  <c r="G151" i="9" s="1"/>
  <c r="F149" i="9"/>
  <c r="F151" i="9" s="1"/>
  <c r="G108" i="9"/>
  <c r="F108" i="9"/>
  <c r="G112" i="9"/>
  <c r="G113" i="9" s="1"/>
  <c r="F113" i="9"/>
  <c r="G83" i="9"/>
  <c r="F83" i="9"/>
  <c r="D119" i="9"/>
  <c r="D120" i="9" s="1"/>
  <c r="E115" i="9"/>
  <c r="Q101" i="9"/>
  <c r="Q100" i="9" s="1"/>
  <c r="Q110" i="9"/>
  <c r="Q112" i="9" s="1"/>
  <c r="P101" i="9"/>
  <c r="P100" i="9" s="1"/>
  <c r="P110" i="9"/>
  <c r="P112" i="9" s="1"/>
  <c r="O101" i="9"/>
  <c r="O100" i="9" s="1"/>
  <c r="O112" i="9"/>
  <c r="N101" i="9"/>
  <c r="N100" i="9" s="1"/>
  <c r="N112" i="9"/>
  <c r="F152" i="9" l="1"/>
  <c r="F153" i="9" s="1"/>
  <c r="G152" i="9"/>
  <c r="G153" i="9" s="1"/>
  <c r="E118" i="9"/>
  <c r="E119" i="9"/>
  <c r="E120" i="9" s="1"/>
  <c r="F115" i="9"/>
  <c r="G115" i="9"/>
  <c r="G118" i="9"/>
  <c r="G119" i="9"/>
  <c r="G120" i="9" s="1"/>
  <c r="F118" i="9" l="1"/>
  <c r="F119" i="9"/>
  <c r="F120" i="9" s="1"/>
  <c r="N26" i="9" l="1"/>
  <c r="N24" i="9" s="1"/>
  <c r="N31" i="9"/>
  <c r="N32" i="9" s="1"/>
  <c r="L24" i="9"/>
  <c r="N33" i="9" s="1"/>
  <c r="N34" i="9" l="1"/>
  <c r="E75" i="9" l="1"/>
  <c r="E82" i="9" s="1"/>
  <c r="F75" i="9"/>
  <c r="F82" i="9" s="1"/>
  <c r="F85" i="9" s="1"/>
  <c r="C75" i="9"/>
  <c r="C82" i="9" s="1"/>
  <c r="C85" i="9" s="1"/>
  <c r="D75" i="9"/>
  <c r="D82" i="9" s="1"/>
  <c r="G75" i="9" l="1"/>
  <c r="G82" i="9" s="1"/>
  <c r="D86" i="9"/>
  <c r="D87" i="9" s="1"/>
  <c r="D85" i="9"/>
  <c r="E85" i="9"/>
  <c r="E86" i="9"/>
  <c r="E87" i="9" s="1"/>
  <c r="F86" i="9"/>
  <c r="F87" i="9" s="1"/>
  <c r="C86" i="9"/>
  <c r="C87" i="9" s="1"/>
  <c r="G86" i="9" l="1"/>
  <c r="G87" i="9" s="1"/>
  <c r="G85" i="9"/>
  <c r="C137" i="9"/>
  <c r="D137" i="9" s="1"/>
  <c r="E137" i="9" s="1"/>
  <c r="F137" i="9" s="1"/>
  <c r="G137" i="9" s="1"/>
  <c r="F104" i="9"/>
  <c r="B104" i="9"/>
  <c r="G104" i="9"/>
  <c r="E104" i="9"/>
  <c r="D104" i="9"/>
  <c r="C104" i="9"/>
</calcChain>
</file>

<file path=xl/sharedStrings.xml><?xml version="1.0" encoding="utf-8"?>
<sst xmlns="http://schemas.openxmlformats.org/spreadsheetml/2006/main" count="294" uniqueCount="148">
  <si>
    <t>EPS ACCRETIVE /DILUTIVE DEAL ANALYSIS WITH DIFFERENT SCENARIOS</t>
  </si>
  <si>
    <t>EPS Accretive/Dilutive Deal Calculation</t>
  </si>
  <si>
    <t>INPUT DATA</t>
  </si>
  <si>
    <t>Scenario 1</t>
  </si>
  <si>
    <t>Scenario 2</t>
  </si>
  <si>
    <t>Scenario 3</t>
  </si>
  <si>
    <t>(figures in INR)</t>
  </si>
  <si>
    <t>Acquirer</t>
  </si>
  <si>
    <t>50% STOCK PAYMENT</t>
  </si>
  <si>
    <t>100% STOCK PAYMENT</t>
  </si>
  <si>
    <t>0% STOCK PAYMENT</t>
  </si>
  <si>
    <t xml:space="preserve">&amp; Target </t>
  </si>
  <si>
    <t>50% CASH PAYMENT</t>
  </si>
  <si>
    <t>0% CASH PAYMENT</t>
  </si>
  <si>
    <t>100% CASH PAYMENT</t>
  </si>
  <si>
    <t>Acquirer Share price @ per share</t>
  </si>
  <si>
    <t>Target company share price @per share</t>
  </si>
  <si>
    <t>Premium Offered</t>
  </si>
  <si>
    <t>Offer Value</t>
  </si>
  <si>
    <t>NO. of Shares outstanding of Target</t>
  </si>
  <si>
    <t>Equity Value for Purchase</t>
  </si>
  <si>
    <t>Add: Total Debt Of Target Firm</t>
  </si>
  <si>
    <t>Less: Cash &amp; cash equivalents Of Target Firm</t>
  </si>
  <si>
    <t>Enterprise Value Of Target Firm</t>
  </si>
  <si>
    <t>Financing Plan Of acquirer for acquiring Target Firm</t>
  </si>
  <si>
    <t xml:space="preserve">Payment through Stock </t>
  </si>
  <si>
    <t>Payment through Cash</t>
  </si>
  <si>
    <t>Exchange ratio without Premium</t>
  </si>
  <si>
    <t>Exchange Ratio with Premium offered</t>
  </si>
  <si>
    <t xml:space="preserve">Number of shares issued in mn </t>
  </si>
  <si>
    <t>Deal is Accretive</t>
  </si>
  <si>
    <t>Accretive</t>
  </si>
  <si>
    <t>Deal is Dilutive</t>
  </si>
  <si>
    <t>Dilutive</t>
  </si>
  <si>
    <t>Income statement of Acquirer Post M&amp;A</t>
  </si>
  <si>
    <t>Operating Profit - EBIT of Acquirer before M&amp;A</t>
  </si>
  <si>
    <t>Operating Profit- EBIT of Target</t>
  </si>
  <si>
    <t>Operating Synergies gained from Merger</t>
  </si>
  <si>
    <t>Total Operating Profit Of acquirer Post M&amp;A</t>
  </si>
  <si>
    <t>Depreciation from write up</t>
  </si>
  <si>
    <t>Amortization from writeup</t>
  </si>
  <si>
    <t xml:space="preserve">New Debt interest Expense </t>
  </si>
  <si>
    <t>New debt Interest rate</t>
  </si>
  <si>
    <t>Existing debt interest rate</t>
  </si>
  <si>
    <t>Earnings before tax</t>
  </si>
  <si>
    <t>Tax Charged</t>
  </si>
  <si>
    <t>Acquirer's Net Income Post M&amp;A</t>
  </si>
  <si>
    <t>Acquirer's Net Income before M&amp;A</t>
  </si>
  <si>
    <t xml:space="preserve">Assumptions </t>
  </si>
  <si>
    <t>Acquirer fully diluted shares</t>
  </si>
  <si>
    <t>New shares issued to Target shareholders</t>
  </si>
  <si>
    <t>Total shares of Acquirer post M&amp;A deal</t>
  </si>
  <si>
    <t>Growth rate expected in EBIT of Acquirer post M&amp;A</t>
  </si>
  <si>
    <t>Growth rate expected in EBIT of Acquirer Before M&amp;A</t>
  </si>
  <si>
    <t>New debt repaid @ 10.5% of outsanding value p.a.</t>
  </si>
  <si>
    <t>Existing debt repaid at 5% of outsanding value p.a.</t>
  </si>
  <si>
    <t>SCENARIO 1:                            50% STOCK PAYMENT</t>
  </si>
  <si>
    <t>Forecasted Income statement of acquirer post M&amp;A</t>
  </si>
  <si>
    <t>20X1</t>
  </si>
  <si>
    <t>20X2</t>
  </si>
  <si>
    <t>20X3</t>
  </si>
  <si>
    <t>20X4</t>
  </si>
  <si>
    <t>20X5</t>
  </si>
  <si>
    <t>20X6</t>
  </si>
  <si>
    <t>Existing interest Expense</t>
  </si>
  <si>
    <t>New debt Interest Expense @5%</t>
  </si>
  <si>
    <t>Acquirer's Net Income without M&amp;A</t>
  </si>
  <si>
    <t>Growth rate  in EBIT of Acquirer without M&amp;A</t>
  </si>
  <si>
    <t>Total shares post M&amp;A deal</t>
  </si>
  <si>
    <t>Acquirer's Diluted EPS post M&amp;A</t>
  </si>
  <si>
    <t>Acquirer diluted EPS before M&amp;A</t>
  </si>
  <si>
    <t>Accretion/Dilution-INR</t>
  </si>
  <si>
    <t>Accretion/Dilution-%</t>
  </si>
  <si>
    <t xml:space="preserve">Accretive /Dilutive </t>
  </si>
  <si>
    <t>SCENARIO 2:                            100% STOCK PAYMENT</t>
  </si>
  <si>
    <t>SCENARIO 3:                            100% CASH PAYMENT</t>
  </si>
  <si>
    <t xml:space="preserve">                                                                                    </t>
  </si>
  <si>
    <t xml:space="preserve">New debt Interest Expense </t>
  </si>
  <si>
    <t>Acquirer's Net Income Without M&amp;A</t>
  </si>
  <si>
    <t>NO. of Shares outstanding of Acquirer</t>
  </si>
  <si>
    <t>Scenario 4</t>
  </si>
  <si>
    <t>Target</t>
  </si>
  <si>
    <t>No Premium</t>
  </si>
  <si>
    <t>Premium offered per Share</t>
  </si>
  <si>
    <t>50% cash + 50% stock payment</t>
  </si>
  <si>
    <t>Share price before announcement of M&amp;A deal</t>
  </si>
  <si>
    <t>Net Operating Income</t>
  </si>
  <si>
    <t>Earning per share-EPS</t>
  </si>
  <si>
    <t>Price/earning -P/E ratio</t>
  </si>
  <si>
    <t>Number of shares outstanding</t>
  </si>
  <si>
    <t>Increase in Net income due to synergy gains</t>
  </si>
  <si>
    <t xml:space="preserve">Scenario-1 </t>
  </si>
  <si>
    <t>Acquirer acquires target firm at Market price and pays through stock</t>
  </si>
  <si>
    <t>P/E ratio of Target &gt; P/E ratio of Acquirer</t>
  </si>
  <si>
    <t xml:space="preserve">Exchange ratio more than one </t>
  </si>
  <si>
    <t>Post M&amp;A</t>
  </si>
  <si>
    <t>Share price before announcement</t>
  </si>
  <si>
    <t>P/E ratio</t>
  </si>
  <si>
    <t>EPS Next year</t>
  </si>
  <si>
    <t>Shares outstanding</t>
  </si>
  <si>
    <t>Net Income next years</t>
  </si>
  <si>
    <t>Equity Offer value(No. of shares X Offer price)</t>
  </si>
  <si>
    <t>Exchange ratio (Price of Target/Price of Acquirer)</t>
  </si>
  <si>
    <t>New shares issued to Target Firm SHs</t>
  </si>
  <si>
    <t>Total shares Of combined firm, Post M&amp;A</t>
  </si>
  <si>
    <t>Net Income of combined firm post M&amp;A</t>
  </si>
  <si>
    <t>EPS of combine firm post M&amp;A</t>
  </si>
  <si>
    <t>EPS of Acquirer firm Before M&amp;A</t>
  </si>
  <si>
    <t>Accretion(dilution) % to Acquirer post M&amp;A</t>
  </si>
  <si>
    <t xml:space="preserve">Combined </t>
  </si>
  <si>
    <t xml:space="preserve">Net Income </t>
  </si>
  <si>
    <t xml:space="preserve">Increase in Net income due to synergy gains </t>
  </si>
  <si>
    <t>Net Income of combined firm adjusted with synergy gain</t>
  </si>
  <si>
    <t>Increase in Net income due to synergy Gains</t>
  </si>
  <si>
    <t>Acquirer acquires target firm at Preium over market price and pays through stock</t>
  </si>
  <si>
    <t>Offers premium on share price(paid through stock)</t>
  </si>
  <si>
    <t>100% Acquistion of target with stock</t>
  </si>
  <si>
    <t>No premium</t>
  </si>
  <si>
    <t>With  premium</t>
  </si>
  <si>
    <t>Acquirer acquires target firm with 50% cash and 50% stock payment</t>
  </si>
  <si>
    <t>Combined no premium</t>
  </si>
  <si>
    <t>100% stock</t>
  </si>
  <si>
    <t>50% stock</t>
  </si>
  <si>
    <t>Scenario-2</t>
  </si>
  <si>
    <t>Scenario-3</t>
  </si>
  <si>
    <t>Scenario-4</t>
  </si>
  <si>
    <t xml:space="preserve">INR 52.47 /share </t>
  </si>
  <si>
    <t>Tax expense @26%</t>
  </si>
  <si>
    <t>Synergy Area</t>
  </si>
  <si>
    <t>Basis</t>
  </si>
  <si>
    <t>FY27</t>
  </si>
  <si>
    <t>Notes</t>
  </si>
  <si>
    <t>Export of HBL products via Bajaj channels</t>
  </si>
  <si>
    <t>Assume 5% of HBL’s forecasted revenue (₹2,932 Cr in 2026) in new markets</t>
  </si>
  <si>
    <t>Based on gradual market penetration</t>
  </si>
  <si>
    <t>Bundled EV battery sales</t>
  </si>
  <si>
    <t>₹10K avg margin per EV, 1 lakh units</t>
  </si>
  <si>
    <t>Based on projected EV growth</t>
  </si>
  <si>
    <t>Distribution cost savings</t>
  </si>
  <si>
    <t>2% of combined COGS</t>
  </si>
  <si>
    <t>Shared channels, logistics</t>
  </si>
  <si>
    <t>Total Annual Revenue/Cost Synergy</t>
  </si>
  <si>
    <t>WACC for combined entity</t>
  </si>
  <si>
    <t>8.5% to 9%</t>
  </si>
  <si>
    <t>in crores</t>
  </si>
  <si>
    <t>synergy value</t>
  </si>
  <si>
    <t>FY25 Estimate (INR Cr)</t>
  </si>
  <si>
    <t>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</si>
</sst>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₹&quot;\ #,##0;[Red]&quot;₹&quot;\ \-#,##0"/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"/>
    <numFmt numFmtId="165" formatCode="0.0%"/>
    <numFmt numFmtId="166" formatCode="_(* #,##0_);_(* \(#,##0\);_(* &quot;-&quot;_);_(@_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22"/>
      <color theme="1"/>
      <name val="Garamond"/>
      <family val="1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Garamond"/>
      <family val="1"/>
    </font>
    <font>
      <sz val="18"/>
      <color theme="1"/>
      <name val="Garamond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26"/>
      <color theme="1"/>
      <name val="Garamond"/>
      <family val="1"/>
    </font>
    <font>
      <sz val="26"/>
      <color theme="1"/>
      <name val="Garamond"/>
      <family val="1"/>
    </font>
    <font>
      <sz val="12"/>
      <color theme="1"/>
      <name val="Calibri"/>
      <family val="2"/>
      <scheme val="minor"/>
    </font>
    <font>
      <b/>
      <u/>
      <sz val="26"/>
      <color theme="1"/>
      <name val="Garamond"/>
      <family val="1"/>
    </font>
  </fonts>
  <fills count="1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Fill="0" applyBorder="0" applyProtection="0">
      <protection locked="0"/>
    </xf>
  </cellStyleXfs>
  <cellXfs count="163">
    <xf numFmtId="0" fontId="0" fillId="0" borderId="0" xfId="0"/>
    <xf numFmtId="0" fontId="0" fillId="6" borderId="0" xfId="0" applyFill="1"/>
    <xf numFmtId="0" fontId="7" fillId="6" borderId="0" xfId="0" applyFont="1" applyFill="1"/>
    <xf numFmtId="0" fontId="8" fillId="6" borderId="0" xfId="0" applyFont="1" applyFill="1"/>
    <xf numFmtId="0" fontId="11" fillId="8" borderId="0" xfId="0" applyFont="1" applyFill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3" fillId="4" borderId="0" xfId="0" applyFont="1" applyFill="1"/>
    <xf numFmtId="0" fontId="12" fillId="9" borderId="1" xfId="0" applyFont="1" applyFill="1" applyBorder="1"/>
    <xf numFmtId="0" fontId="12" fillId="4" borderId="0" xfId="0" applyFont="1" applyFill="1"/>
    <xf numFmtId="0" fontId="12" fillId="9" borderId="3" xfId="0" applyFont="1" applyFill="1" applyBorder="1"/>
    <xf numFmtId="0" fontId="8" fillId="6" borderId="9" xfId="0" applyFont="1" applyFill="1" applyBorder="1"/>
    <xf numFmtId="0" fontId="8" fillId="6" borderId="10" xfId="0" applyFont="1" applyFill="1" applyBorder="1"/>
    <xf numFmtId="0" fontId="8" fillId="10" borderId="4" xfId="0" applyFont="1" applyFill="1" applyBorder="1"/>
    <xf numFmtId="0" fontId="5" fillId="0" borderId="4" xfId="0" applyFont="1" applyBorder="1"/>
    <xf numFmtId="0" fontId="8" fillId="0" borderId="4" xfId="0" applyFont="1" applyBorder="1"/>
    <xf numFmtId="9" fontId="8" fillId="0" borderId="4" xfId="0" applyNumberFormat="1" applyFont="1" applyBorder="1"/>
    <xf numFmtId="0" fontId="5" fillId="10" borderId="4" xfId="0" applyFont="1" applyFill="1" applyBorder="1"/>
    <xf numFmtId="9" fontId="8" fillId="11" borderId="4" xfId="0" applyNumberFormat="1" applyFont="1" applyFill="1" applyBorder="1"/>
    <xf numFmtId="0" fontId="8" fillId="11" borderId="4" xfId="0" applyFont="1" applyFill="1" applyBorder="1"/>
    <xf numFmtId="2" fontId="8" fillId="0" borderId="4" xfId="0" applyNumberFormat="1" applyFont="1" applyBorder="1"/>
    <xf numFmtId="0" fontId="14" fillId="10" borderId="4" xfId="0" applyFont="1" applyFill="1" applyBorder="1"/>
    <xf numFmtId="166" fontId="8" fillId="6" borderId="0" xfId="0" applyNumberFormat="1" applyFont="1" applyFill="1"/>
    <xf numFmtId="0" fontId="15" fillId="6" borderId="0" xfId="0" applyFont="1" applyFill="1"/>
    <xf numFmtId="2" fontId="8" fillId="0" borderId="0" xfId="0" applyNumberFormat="1" applyFont="1"/>
    <xf numFmtId="0" fontId="16" fillId="4" borderId="0" xfId="0" applyFont="1" applyFill="1" applyAlignment="1">
      <alignment horizontal="center" wrapText="1"/>
    </xf>
    <xf numFmtId="0" fontId="17" fillId="0" borderId="0" xfId="0" applyFont="1" applyAlignment="1">
      <alignment wrapText="1"/>
    </xf>
    <xf numFmtId="0" fontId="12" fillId="3" borderId="0" xfId="0" applyFont="1" applyFill="1"/>
    <xf numFmtId="0" fontId="12" fillId="0" borderId="0" xfId="0" applyFont="1"/>
    <xf numFmtId="0" fontId="8" fillId="3" borderId="0" xfId="0" applyFont="1" applyFill="1"/>
    <xf numFmtId="0" fontId="11" fillId="3" borderId="0" xfId="0" applyFont="1" applyFill="1"/>
    <xf numFmtId="1" fontId="12" fillId="0" borderId="0" xfId="0" applyNumberFormat="1" applyFont="1"/>
    <xf numFmtId="9" fontId="12" fillId="0" borderId="0" xfId="0" applyNumberFormat="1" applyFont="1"/>
    <xf numFmtId="9" fontId="12" fillId="0" borderId="0" xfId="1" applyFont="1" applyFill="1" applyProtection="1"/>
    <xf numFmtId="1" fontId="12" fillId="0" borderId="0" xfId="1" applyNumberFormat="1" applyFont="1" applyFill="1" applyProtection="1"/>
    <xf numFmtId="2" fontId="12" fillId="0" borderId="0" xfId="0" applyNumberFormat="1" applyFont="1"/>
    <xf numFmtId="0" fontId="12" fillId="6" borderId="0" xfId="0" applyFont="1" applyFill="1"/>
    <xf numFmtId="0" fontId="18" fillId="6" borderId="0" xfId="0" applyFont="1" applyFill="1"/>
    <xf numFmtId="165" fontId="12" fillId="0" borderId="0" xfId="1" applyNumberFormat="1" applyFont="1" applyFill="1" applyProtection="1"/>
    <xf numFmtId="10" fontId="12" fillId="6" borderId="0" xfId="0" applyNumberFormat="1" applyFont="1" applyFill="1"/>
    <xf numFmtId="0" fontId="11" fillId="9" borderId="1" xfId="0" applyFont="1" applyFill="1" applyBorder="1"/>
    <xf numFmtId="0" fontId="11" fillId="9" borderId="1" xfId="0" applyFont="1" applyFill="1" applyBorder="1" applyAlignment="1">
      <alignment horizontal="center"/>
    </xf>
    <xf numFmtId="0" fontId="12" fillId="11" borderId="0" xfId="0" applyFont="1" applyFill="1"/>
    <xf numFmtId="0" fontId="11" fillId="11" borderId="0" xfId="0" applyFont="1" applyFill="1"/>
    <xf numFmtId="164" fontId="12" fillId="0" borderId="0" xfId="0" applyNumberFormat="1" applyFont="1"/>
    <xf numFmtId="9" fontId="12" fillId="0" borderId="0" xfId="1" applyFont="1" applyFill="1" applyBorder="1" applyProtection="1"/>
    <xf numFmtId="2" fontId="12" fillId="0" borderId="0" xfId="1" applyNumberFormat="1" applyFont="1" applyFill="1" applyBorder="1" applyProtection="1"/>
    <xf numFmtId="10" fontId="12" fillId="0" borderId="0" xfId="0" applyNumberFormat="1" applyFont="1"/>
    <xf numFmtId="0" fontId="11" fillId="2" borderId="0" xfId="0" applyFont="1" applyFill="1"/>
    <xf numFmtId="2" fontId="12" fillId="4" borderId="1" xfId="0" applyNumberFormat="1" applyFont="1" applyFill="1" applyBorder="1"/>
    <xf numFmtId="2" fontId="12" fillId="4" borderId="0" xfId="0" applyNumberFormat="1" applyFont="1" applyFill="1"/>
    <xf numFmtId="0" fontId="12" fillId="9" borderId="0" xfId="0" applyFont="1" applyFill="1"/>
    <xf numFmtId="2" fontId="12" fillId="12" borderId="0" xfId="0" applyNumberFormat="1" applyFont="1" applyFill="1"/>
    <xf numFmtId="10" fontId="12" fillId="12" borderId="0" xfId="1" applyNumberFormat="1" applyFont="1" applyFill="1" applyBorder="1" applyProtection="1"/>
    <xf numFmtId="0" fontId="12" fillId="9" borderId="0" xfId="0" applyFont="1" applyFill="1" applyAlignment="1">
      <alignment horizontal="center"/>
    </xf>
    <xf numFmtId="0" fontId="8" fillId="9" borderId="0" xfId="0" applyFont="1" applyFill="1"/>
    <xf numFmtId="2" fontId="12" fillId="0" borderId="1" xfId="0" applyNumberFormat="1" applyFont="1" applyBorder="1"/>
    <xf numFmtId="165" fontId="12" fillId="12" borderId="0" xfId="1" applyNumberFormat="1" applyFont="1" applyFill="1" applyBorder="1" applyProtection="1"/>
    <xf numFmtId="164" fontId="12" fillId="0" borderId="0" xfId="1" applyNumberFormat="1" applyFont="1" applyFill="1" applyBorder="1" applyProtection="1"/>
    <xf numFmtId="164" fontId="8" fillId="0" borderId="4" xfId="0" applyNumberFormat="1" applyFont="1" applyBorder="1"/>
    <xf numFmtId="44" fontId="8" fillId="0" borderId="4" xfId="2" applyFont="1" applyBorder="1"/>
    <xf numFmtId="44" fontId="4" fillId="5" borderId="0" xfId="2" applyFont="1" applyFill="1"/>
    <xf numFmtId="44" fontId="8" fillId="11" borderId="4" xfId="2" applyFont="1" applyFill="1" applyBorder="1"/>
    <xf numFmtId="0" fontId="8" fillId="4" borderId="8" xfId="0" applyFont="1" applyFill="1" applyBorder="1"/>
    <xf numFmtId="0" fontId="5" fillId="8" borderId="15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14" fillId="4" borderId="15" xfId="0" applyFont="1" applyFill="1" applyBorder="1"/>
    <xf numFmtId="0" fontId="8" fillId="9" borderId="19" xfId="0" applyFont="1" applyFill="1" applyBorder="1"/>
    <xf numFmtId="0" fontId="8" fillId="4" borderId="15" xfId="0" applyFont="1" applyFill="1" applyBorder="1"/>
    <xf numFmtId="0" fontId="8" fillId="9" borderId="1" xfId="0" applyFont="1" applyFill="1" applyBorder="1"/>
    <xf numFmtId="0" fontId="8" fillId="4" borderId="12" xfId="0" applyFont="1" applyFill="1" applyBorder="1" applyAlignment="1">
      <alignment wrapText="1"/>
    </xf>
    <xf numFmtId="0" fontId="8" fillId="4" borderId="13" xfId="0" applyFont="1" applyFill="1" applyBorder="1" applyAlignment="1">
      <alignment horizontal="center" wrapText="1"/>
    </xf>
    <xf numFmtId="0" fontId="8" fillId="4" borderId="14" xfId="0" applyFont="1" applyFill="1" applyBorder="1" applyAlignment="1">
      <alignment wrapText="1"/>
    </xf>
    <xf numFmtId="0" fontId="8" fillId="10" borderId="15" xfId="0" applyFont="1" applyFill="1" applyBorder="1"/>
    <xf numFmtId="0" fontId="8" fillId="13" borderId="0" xfId="0" applyFont="1" applyFill="1"/>
    <xf numFmtId="164" fontId="8" fillId="13" borderId="0" xfId="0" applyNumberFormat="1" applyFont="1" applyFill="1"/>
    <xf numFmtId="2" fontId="8" fillId="13" borderId="0" xfId="0" applyNumberFormat="1" applyFont="1" applyFill="1"/>
    <xf numFmtId="164" fontId="8" fillId="9" borderId="0" xfId="0" applyNumberFormat="1" applyFont="1" applyFill="1"/>
    <xf numFmtId="0" fontId="8" fillId="10" borderId="17" xfId="0" applyFont="1" applyFill="1" applyBorder="1"/>
    <xf numFmtId="0" fontId="8" fillId="9" borderId="18" xfId="0" applyFont="1" applyFill="1" applyBorder="1"/>
    <xf numFmtId="1" fontId="8" fillId="13" borderId="18" xfId="0" applyNumberFormat="1" applyFont="1" applyFill="1" applyBorder="1"/>
    <xf numFmtId="0" fontId="8" fillId="13" borderId="18" xfId="0" applyFont="1" applyFill="1" applyBorder="1"/>
    <xf numFmtId="44" fontId="8" fillId="6" borderId="0" xfId="0" applyNumberFormat="1" applyFont="1" applyFill="1"/>
    <xf numFmtId="43" fontId="8" fillId="9" borderId="0" xfId="0" applyNumberFormat="1" applyFont="1" applyFill="1"/>
    <xf numFmtId="44" fontId="8" fillId="6" borderId="0" xfId="2" applyFont="1" applyFill="1"/>
    <xf numFmtId="44" fontId="8" fillId="13" borderId="0" xfId="2" applyFont="1" applyFill="1"/>
    <xf numFmtId="44" fontId="8" fillId="6" borderId="4" xfId="0" applyNumberFormat="1" applyFont="1" applyFill="1" applyBorder="1" applyAlignment="1">
      <alignment wrapText="1"/>
    </xf>
    <xf numFmtId="0" fontId="8" fillId="8" borderId="0" xfId="0" applyFont="1" applyFill="1" applyAlignment="1">
      <alignment horizontal="center" wrapText="1"/>
    </xf>
    <xf numFmtId="0" fontId="8" fillId="8" borderId="22" xfId="0" applyFont="1" applyFill="1" applyBorder="1" applyAlignment="1">
      <alignment horizontal="center" wrapText="1"/>
    </xf>
    <xf numFmtId="0" fontId="8" fillId="4" borderId="21" xfId="0" applyFont="1" applyFill="1" applyBorder="1" applyAlignment="1">
      <alignment wrapText="1"/>
    </xf>
    <xf numFmtId="0" fontId="8" fillId="4" borderId="11" xfId="0" applyFont="1" applyFill="1" applyBorder="1" applyAlignment="1">
      <alignment horizontal="center" wrapText="1"/>
    </xf>
    <xf numFmtId="0" fontId="19" fillId="4" borderId="0" xfId="0" applyFont="1" applyFill="1" applyAlignment="1">
      <alignment horizontal="center" wrapText="1"/>
    </xf>
    <xf numFmtId="0" fontId="8" fillId="4" borderId="0" xfId="0" applyFont="1" applyFill="1"/>
    <xf numFmtId="164" fontId="8" fillId="2" borderId="4" xfId="0" applyNumberFormat="1" applyFont="1" applyFill="1" applyBorder="1"/>
    <xf numFmtId="1" fontId="8" fillId="0" borderId="4" xfId="0" applyNumberFormat="1" applyFont="1" applyBorder="1"/>
    <xf numFmtId="2" fontId="8" fillId="4" borderId="4" xfId="0" applyNumberFormat="1" applyFont="1" applyFill="1" applyBorder="1"/>
    <xf numFmtId="0" fontId="5" fillId="14" borderId="4" xfId="0" applyFont="1" applyFill="1" applyBorder="1"/>
    <xf numFmtId="10" fontId="8" fillId="14" borderId="4" xfId="1" applyNumberFormat="1" applyFont="1" applyFill="1" applyBorder="1" applyProtection="1"/>
    <xf numFmtId="0" fontId="8" fillId="14" borderId="4" xfId="0" applyFont="1" applyFill="1" applyBorder="1"/>
    <xf numFmtId="0" fontId="5" fillId="3" borderId="0" xfId="0" applyFont="1" applyFill="1"/>
    <xf numFmtId="10" fontId="8" fillId="3" borderId="0" xfId="1" applyNumberFormat="1" applyFont="1" applyFill="1" applyBorder="1" applyProtection="1"/>
    <xf numFmtId="0" fontId="8" fillId="4" borderId="4" xfId="0" applyFont="1" applyFill="1" applyBorder="1"/>
    <xf numFmtId="164" fontId="8" fillId="4" borderId="4" xfId="0" applyNumberFormat="1" applyFont="1" applyFill="1" applyBorder="1"/>
    <xf numFmtId="1" fontId="8" fillId="4" borderId="4" xfId="0" applyNumberFormat="1" applyFont="1" applyFill="1" applyBorder="1"/>
    <xf numFmtId="10" fontId="8" fillId="0" borderId="4" xfId="1" applyNumberFormat="1" applyFont="1" applyBorder="1" applyProtection="1"/>
    <xf numFmtId="0" fontId="5" fillId="0" borderId="4" xfId="0" applyFont="1" applyBorder="1" applyAlignment="1">
      <alignment horizontal="center"/>
    </xf>
    <xf numFmtId="0" fontId="5" fillId="3" borderId="23" xfId="0" applyFont="1" applyFill="1" applyBorder="1"/>
    <xf numFmtId="0" fontId="5" fillId="0" borderId="4" xfId="0" applyFont="1" applyBorder="1" applyAlignment="1">
      <alignment wrapText="1"/>
    </xf>
    <xf numFmtId="164" fontId="5" fillId="4" borderId="4" xfId="0" applyNumberFormat="1" applyFont="1" applyFill="1" applyBorder="1" applyAlignment="1">
      <alignment horizontal="center"/>
    </xf>
    <xf numFmtId="164" fontId="5" fillId="10" borderId="4" xfId="0" applyNumberFormat="1" applyFont="1" applyFill="1" applyBorder="1" applyAlignment="1">
      <alignment horizontal="center"/>
    </xf>
    <xf numFmtId="164" fontId="8" fillId="10" borderId="4" xfId="0" applyNumberFormat="1" applyFont="1" applyFill="1" applyBorder="1"/>
    <xf numFmtId="2" fontId="8" fillId="10" borderId="4" xfId="0" applyNumberFormat="1" applyFont="1" applyFill="1" applyBorder="1"/>
    <xf numFmtId="1" fontId="8" fillId="10" borderId="4" xfId="0" applyNumberFormat="1" applyFont="1" applyFill="1" applyBorder="1"/>
    <xf numFmtId="10" fontId="8" fillId="4" borderId="4" xfId="1" applyNumberFormat="1" applyFont="1" applyFill="1" applyBorder="1" applyProtection="1"/>
    <xf numFmtId="10" fontId="8" fillId="10" borderId="4" xfId="1" applyNumberFormat="1" applyFont="1" applyFill="1" applyBorder="1" applyProtection="1"/>
    <xf numFmtId="44" fontId="8" fillId="0" borderId="4" xfId="0" applyNumberFormat="1" applyFont="1" applyBorder="1"/>
    <xf numFmtId="44" fontId="8" fillId="2" borderId="4" xfId="0" applyNumberFormat="1" applyFont="1" applyFill="1" applyBorder="1"/>
    <xf numFmtId="1" fontId="8" fillId="5" borderId="4" xfId="0" applyNumberFormat="1" applyFont="1" applyFill="1" applyBorder="1"/>
    <xf numFmtId="0" fontId="8" fillId="5" borderId="18" xfId="0" applyFont="1" applyFill="1" applyBorder="1"/>
    <xf numFmtId="0" fontId="5" fillId="0" borderId="1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44" fontId="8" fillId="4" borderId="4" xfId="2" applyFont="1" applyFill="1" applyBorder="1"/>
    <xf numFmtId="44" fontId="8" fillId="10" borderId="4" xfId="2" applyFont="1" applyFill="1" applyBorder="1"/>
    <xf numFmtId="44" fontId="8" fillId="10" borderId="0" xfId="2" applyFont="1" applyFill="1"/>
    <xf numFmtId="44" fontId="8" fillId="11" borderId="4" xfId="0" applyNumberFormat="1" applyFont="1" applyFill="1" applyBorder="1"/>
    <xf numFmtId="0" fontId="0" fillId="0" borderId="19" xfId="0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6" fontId="0" fillId="0" borderId="19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8" fontId="0" fillId="0" borderId="0" xfId="0" applyNumberFormat="1"/>
    <xf numFmtId="0" fontId="0" fillId="5" borderId="4" xfId="0" applyFill="1" applyBorder="1"/>
    <xf numFmtId="8" fontId="0" fillId="5" borderId="4" xfId="0" applyNumberFormat="1" applyFill="1" applyBorder="1"/>
    <xf numFmtId="0" fontId="5" fillId="0" borderId="4" xfId="0" applyFont="1" applyBorder="1" applyAlignment="1">
      <alignment wrapText="1"/>
    </xf>
    <xf numFmtId="0" fontId="19" fillId="4" borderId="0" xfId="0" applyFont="1" applyFill="1" applyAlignment="1">
      <alignment horizontal="center" wrapText="1"/>
    </xf>
    <xf numFmtId="0" fontId="17" fillId="0" borderId="0" xfId="0" applyFont="1" applyAlignment="1">
      <alignment wrapText="1"/>
    </xf>
    <xf numFmtId="0" fontId="16" fillId="4" borderId="0" xfId="0" applyFont="1" applyFill="1" applyAlignment="1">
      <alignment horizontal="center" wrapText="1"/>
    </xf>
    <xf numFmtId="2" fontId="8" fillId="0" borderId="11" xfId="0" applyNumberFormat="1" applyFont="1" applyBorder="1" applyAlignment="1">
      <alignment horizontal="center" wrapText="1"/>
    </xf>
    <xf numFmtId="2" fontId="8" fillId="0" borderId="12" xfId="0" applyNumberFormat="1" applyFont="1" applyBorder="1" applyAlignment="1">
      <alignment horizontal="center" wrapText="1"/>
    </xf>
    <xf numFmtId="0" fontId="8" fillId="0" borderId="20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10" borderId="13" xfId="0" applyFont="1" applyFill="1" applyBorder="1" applyAlignment="1">
      <alignment wrapText="1"/>
    </xf>
    <xf numFmtId="0" fontId="8" fillId="10" borderId="14" xfId="0" applyFont="1" applyFill="1" applyBorder="1" applyAlignment="1">
      <alignment wrapText="1"/>
    </xf>
    <xf numFmtId="0" fontId="8" fillId="0" borderId="24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44" fontId="8" fillId="0" borderId="11" xfId="2" applyFont="1" applyBorder="1" applyAlignment="1">
      <alignment horizontal="center" wrapText="1"/>
    </xf>
    <xf numFmtId="44" fontId="8" fillId="0" borderId="12" xfId="2" applyFont="1" applyBorder="1" applyAlignment="1">
      <alignment horizontal="center" wrapText="1"/>
    </xf>
    <xf numFmtId="0" fontId="9" fillId="4" borderId="7" xfId="0" applyFont="1" applyFill="1" applyBorder="1" applyAlignment="1">
      <alignment horizontal="center" wrapText="1"/>
    </xf>
    <xf numFmtId="0" fontId="9" fillId="0" borderId="8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8" fillId="4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4" borderId="11" xfId="0" applyFont="1" applyFill="1" applyBorder="1" applyAlignment="1">
      <alignment wrapText="1"/>
    </xf>
    <xf numFmtId="0" fontId="8" fillId="0" borderId="20" xfId="0" applyFont="1" applyBorder="1" applyAlignment="1">
      <alignment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9" fontId="8" fillId="0" borderId="11" xfId="1" applyFont="1" applyFill="1" applyBorder="1" applyAlignment="1" applyProtection="1">
      <alignment horizontal="center" wrapText="1"/>
    </xf>
    <xf numFmtId="9" fontId="8" fillId="0" borderId="12" xfId="1" applyFont="1" applyFill="1" applyBorder="1" applyAlignment="1" applyProtection="1">
      <alignment horizontal="center" wrapText="1"/>
    </xf>
    <xf numFmtId="0" fontId="12" fillId="4" borderId="3" xfId="0" applyFont="1" applyFill="1" applyBorder="1" applyAlignment="1">
      <alignment horizontal="center" wrapText="1"/>
    </xf>
    <xf numFmtId="0" fontId="8" fillId="6" borderId="0" xfId="0" applyFont="1" applyFill="1" applyAlignment="1">
      <alignment horizontal="center" wrapText="1"/>
    </xf>
    <xf numFmtId="0" fontId="8" fillId="6" borderId="16" xfId="0" applyFont="1" applyFill="1" applyBorder="1" applyAlignment="1">
      <alignment horizontal="center" wrapText="1"/>
    </xf>
    <xf numFmtId="0" fontId="6" fillId="7" borderId="5" xfId="0" applyFont="1" applyFill="1" applyBorder="1" applyAlignment="1">
      <alignment horizontal="center" wrapText="1"/>
    </xf>
    <xf numFmtId="0" fontId="6" fillId="7" borderId="6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</cellXfs>
  <cellStyles count="5">
    <cellStyle name="_x000a_386grabber=M" xfId="3" xr:uid="{552AA9A2-CA70-43B7-94D5-D65BC15F5068}"/>
    <cellStyle name="AFE" xfId="4" xr:uid="{7B3554A1-3E94-4973-9A13-0FAFE277B5F6}"/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91844\Downloads\HBL%20Engineering.xlsx" TargetMode="External"/><Relationship Id="rId1" Type="http://schemas.openxmlformats.org/officeDocument/2006/relationships/externalLinkPath" Target="/Users/acer/Desktop/Models/M&amp;A/Buy%20side%20Project/HBL%20Enginee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Data Sheet"/>
      <sheetName val="Valuation"/>
      <sheetName val="forecasted WC"/>
    </sheetNames>
    <sheetDataSet>
      <sheetData sheetId="0" refreshError="1">
        <row r="14">
          <cell r="K14">
            <v>44.803588589999997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14">
          <cell r="F14">
            <v>264.62</v>
          </cell>
        </row>
        <row r="40">
          <cell r="I40">
            <v>67.459999999999994</v>
          </cell>
        </row>
        <row r="42">
          <cell r="I42">
            <v>234.95</v>
          </cell>
        </row>
      </sheetData>
      <sheetData sheetId="6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D787-6228-4E30-BFEE-CA5DD20CBC8E}">
  <dimension ref="A1:Q172"/>
  <sheetViews>
    <sheetView tabSelected="1" topLeftCell="F1" zoomScale="70" zoomScaleNormal="70" workbookViewId="0">
      <selection activeCell="Q21" sqref="Q21"/>
    </sheetView>
  </sheetViews>
  <sheetFormatPr defaultRowHeight="14.4" x14ac:dyDescent="0.3"/>
  <cols>
    <col min="1" max="1" width="56.33203125" customWidth="1"/>
    <col min="2" max="2" width="23.109375" customWidth="1"/>
    <col min="3" max="3" width="17.5546875" customWidth="1"/>
    <col min="4" max="4" width="35.44140625" customWidth="1"/>
    <col min="5" max="5" width="38.21875" customWidth="1"/>
    <col min="6" max="6" width="49.6640625" customWidth="1"/>
    <col min="7" max="7" width="16.21875" bestFit="1" customWidth="1"/>
    <col min="8" max="8" width="48.6640625" bestFit="1" customWidth="1"/>
    <col min="11" max="11" width="41.88671875" bestFit="1" customWidth="1"/>
    <col min="12" max="12" width="22.109375" bestFit="1" customWidth="1"/>
    <col min="13" max="13" width="19.44140625" bestFit="1" customWidth="1"/>
    <col min="14" max="15" width="21.44140625" bestFit="1" customWidth="1"/>
    <col min="16" max="17" width="21.33203125" bestFit="1" customWidth="1"/>
  </cols>
  <sheetData>
    <row r="1" spans="1:17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7" ht="29.4" customHeight="1" thickBot="1" x14ac:dyDescent="0.6">
      <c r="A2" s="159" t="s">
        <v>0</v>
      </c>
      <c r="B2" s="160"/>
      <c r="C2" s="160"/>
      <c r="D2" s="160"/>
      <c r="E2" s="160"/>
      <c r="F2" s="160"/>
      <c r="G2" s="160"/>
      <c r="H2" s="160"/>
      <c r="I2" s="2"/>
      <c r="J2" s="2"/>
    </row>
    <row r="3" spans="1:17" ht="15" thickBot="1" x14ac:dyDescent="0.3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7" ht="23.4" customHeight="1" x14ac:dyDescent="0.45">
      <c r="A4" s="145" t="s">
        <v>1</v>
      </c>
      <c r="B4" s="161"/>
      <c r="C4" s="161"/>
      <c r="D4" s="161"/>
      <c r="E4" s="161"/>
      <c r="F4" s="161"/>
      <c r="G4" s="161"/>
      <c r="H4" s="161"/>
      <c r="I4" s="3"/>
      <c r="J4" s="3"/>
      <c r="K4" s="145" t="s">
        <v>1</v>
      </c>
      <c r="L4" s="146"/>
      <c r="M4" s="146"/>
      <c r="N4" s="147"/>
      <c r="O4" s="147"/>
      <c r="P4" s="62"/>
    </row>
    <row r="5" spans="1:17" ht="16.2" thickBot="1" x14ac:dyDescent="0.35">
      <c r="A5" s="4" t="s">
        <v>2</v>
      </c>
      <c r="B5" s="5"/>
      <c r="C5" s="162" t="s">
        <v>3</v>
      </c>
      <c r="D5" s="162"/>
      <c r="E5" s="162" t="s">
        <v>4</v>
      </c>
      <c r="F5" s="162"/>
      <c r="G5" s="162" t="s">
        <v>5</v>
      </c>
      <c r="H5" s="162"/>
      <c r="I5" s="157"/>
      <c r="J5" s="158"/>
      <c r="K5" s="63" t="s">
        <v>2</v>
      </c>
      <c r="L5" s="64"/>
      <c r="M5" s="64" t="s">
        <v>3</v>
      </c>
      <c r="N5" s="64" t="s">
        <v>4</v>
      </c>
      <c r="O5" s="87" t="s">
        <v>5</v>
      </c>
      <c r="P5" s="86" t="s">
        <v>80</v>
      </c>
    </row>
    <row r="6" spans="1:17" ht="16.2" customHeight="1" thickBot="1" x14ac:dyDescent="0.35">
      <c r="A6" s="6" t="s">
        <v>6</v>
      </c>
      <c r="B6" s="7" t="s">
        <v>7</v>
      </c>
      <c r="C6" s="156" t="s">
        <v>8</v>
      </c>
      <c r="D6" s="156"/>
      <c r="E6" s="156" t="s">
        <v>9</v>
      </c>
      <c r="F6" s="156"/>
      <c r="G6" s="156" t="s">
        <v>10</v>
      </c>
      <c r="H6" s="156"/>
      <c r="I6" s="3"/>
      <c r="J6" s="3"/>
      <c r="K6" s="65" t="s">
        <v>6</v>
      </c>
      <c r="L6" s="66" t="s">
        <v>7</v>
      </c>
      <c r="M6" s="148" t="s">
        <v>81</v>
      </c>
      <c r="N6" s="149"/>
      <c r="O6" s="149"/>
      <c r="P6" s="149"/>
    </row>
    <row r="7" spans="1:17" ht="27" customHeight="1" x14ac:dyDescent="0.3">
      <c r="A7" s="8"/>
      <c r="B7" s="9" t="s">
        <v>11</v>
      </c>
      <c r="C7" s="156" t="s">
        <v>12</v>
      </c>
      <c r="D7" s="156"/>
      <c r="E7" s="156" t="s">
        <v>13</v>
      </c>
      <c r="F7" s="156"/>
      <c r="G7" s="156" t="s">
        <v>14</v>
      </c>
      <c r="H7" s="156"/>
      <c r="I7" s="3"/>
      <c r="J7" s="3"/>
      <c r="K7" s="67"/>
      <c r="L7" s="68"/>
      <c r="M7" s="89" t="s">
        <v>82</v>
      </c>
      <c r="N7" s="69"/>
      <c r="O7" s="88" t="s">
        <v>83</v>
      </c>
      <c r="P7" s="150" t="s">
        <v>84</v>
      </c>
    </row>
    <row r="8" spans="1:17" x14ac:dyDescent="0.3">
      <c r="A8" s="3"/>
      <c r="B8" s="3"/>
      <c r="C8" s="3"/>
      <c r="D8" s="3"/>
      <c r="E8" s="3"/>
      <c r="F8" s="3"/>
      <c r="G8" s="10"/>
      <c r="H8" s="11"/>
      <c r="I8" s="3"/>
      <c r="J8" s="3"/>
      <c r="K8" s="67"/>
      <c r="L8" s="54"/>
      <c r="M8" s="70"/>
      <c r="N8" s="71"/>
      <c r="O8" s="85">
        <f>O9-M9</f>
        <v>52.47371744083955</v>
      </c>
      <c r="P8" s="151"/>
    </row>
    <row r="9" spans="1:17" x14ac:dyDescent="0.3">
      <c r="A9" s="12"/>
      <c r="C9" s="152"/>
      <c r="D9" s="153"/>
      <c r="E9" s="152"/>
      <c r="F9" s="153"/>
      <c r="G9" s="152"/>
      <c r="H9" s="153"/>
      <c r="I9" s="3"/>
      <c r="J9" s="3"/>
      <c r="K9" s="72" t="s">
        <v>85</v>
      </c>
      <c r="L9" s="81">
        <f>B10</f>
        <v>8248</v>
      </c>
      <c r="M9" s="81">
        <f>B11</f>
        <v>523</v>
      </c>
      <c r="N9" s="84">
        <f>M9</f>
        <v>523</v>
      </c>
      <c r="O9" s="84">
        <v>575.47371744083955</v>
      </c>
      <c r="P9" s="84">
        <f>O9</f>
        <v>575.47371744083955</v>
      </c>
    </row>
    <row r="10" spans="1:17" x14ac:dyDescent="0.3">
      <c r="A10" s="12" t="s">
        <v>15</v>
      </c>
      <c r="B10" s="60">
        <v>8248</v>
      </c>
      <c r="C10" s="143">
        <f>B10</f>
        <v>8248</v>
      </c>
      <c r="D10" s="144"/>
      <c r="E10" s="143">
        <f>C10</f>
        <v>8248</v>
      </c>
      <c r="F10" s="144"/>
      <c r="G10" s="143">
        <f>E10</f>
        <v>8248</v>
      </c>
      <c r="H10" s="144"/>
      <c r="I10" s="3"/>
      <c r="J10" s="3"/>
      <c r="K10" s="72" t="s">
        <v>86</v>
      </c>
      <c r="L10" s="3">
        <v>52588000000</v>
      </c>
      <c r="M10" s="83">
        <f>M11*M13</f>
        <v>3235744307.9985218</v>
      </c>
      <c r="N10" s="84">
        <f>M10</f>
        <v>3235744307.9985218</v>
      </c>
      <c r="O10" s="84">
        <f>M10</f>
        <v>3235744307.9985218</v>
      </c>
      <c r="P10" s="84">
        <f>O10</f>
        <v>3235744307.9985218</v>
      </c>
    </row>
    <row r="11" spans="1:17" x14ac:dyDescent="0.3">
      <c r="A11" s="12" t="s">
        <v>16</v>
      </c>
      <c r="B11" s="60">
        <v>523</v>
      </c>
      <c r="C11" s="143">
        <f>B11</f>
        <v>523</v>
      </c>
      <c r="D11" s="144"/>
      <c r="E11" s="143">
        <f t="shared" ref="E11:E19" si="0">C11</f>
        <v>523</v>
      </c>
      <c r="F11" s="144"/>
      <c r="G11" s="143">
        <f t="shared" ref="G11:G19" si="1">E11</f>
        <v>523</v>
      </c>
      <c r="H11" s="144"/>
      <c r="I11" s="3"/>
      <c r="J11" s="3"/>
      <c r="K11" s="72" t="s">
        <v>87</v>
      </c>
      <c r="L11" s="82" t="e">
        <f>L9/L12</f>
        <v>#REF!</v>
      </c>
      <c r="M11" s="75">
        <f>M9/M12</f>
        <v>11.673172093110679</v>
      </c>
      <c r="N11" s="75">
        <f>N10/N13</f>
        <v>11.673172093110679</v>
      </c>
      <c r="O11" s="75">
        <f>O10/O13</f>
        <v>11.673172093110679</v>
      </c>
      <c r="P11" s="75">
        <f>P10/P13</f>
        <v>11.673172093110679</v>
      </c>
    </row>
    <row r="12" spans="1:17" x14ac:dyDescent="0.3">
      <c r="A12" s="12" t="s">
        <v>17</v>
      </c>
      <c r="B12" s="15">
        <v>0.10038240900000001</v>
      </c>
      <c r="C12" s="154">
        <f>B12</f>
        <v>0.10038240900000001</v>
      </c>
      <c r="D12" s="155"/>
      <c r="E12" s="154">
        <f t="shared" si="0"/>
        <v>0.10038240900000001</v>
      </c>
      <c r="F12" s="155"/>
      <c r="G12" s="154">
        <f t="shared" si="1"/>
        <v>0.10038240900000001</v>
      </c>
      <c r="H12" s="155"/>
      <c r="I12" s="3"/>
      <c r="J12" s="3"/>
      <c r="K12" s="72" t="s">
        <v>88</v>
      </c>
      <c r="L12" s="76" t="e">
        <f>#REF!</f>
        <v>#REF!</v>
      </c>
      <c r="M12" s="74">
        <f>'[1]Profit &amp; Loss'!$K$14</f>
        <v>44.803588589999997</v>
      </c>
      <c r="N12" s="74">
        <f>N9/N11</f>
        <v>44.803588589999997</v>
      </c>
      <c r="O12" s="74">
        <f>O9/O11</f>
        <v>49.298829217164972</v>
      </c>
      <c r="P12" s="74">
        <f>P9/P11</f>
        <v>49.298829217164972</v>
      </c>
    </row>
    <row r="13" spans="1:17" x14ac:dyDescent="0.3">
      <c r="A13" s="12" t="s">
        <v>18</v>
      </c>
      <c r="B13" s="59">
        <f>B11*(1+B12)</f>
        <v>575.49999990700007</v>
      </c>
      <c r="C13" s="143">
        <f>C11*(1+C12)</f>
        <v>575.49999990700007</v>
      </c>
      <c r="D13" s="144"/>
      <c r="E13" s="143">
        <f t="shared" si="0"/>
        <v>575.49999990700007</v>
      </c>
      <c r="F13" s="144"/>
      <c r="G13" s="143">
        <f t="shared" si="1"/>
        <v>575.49999990700007</v>
      </c>
      <c r="H13" s="144"/>
      <c r="I13" s="3"/>
      <c r="J13" s="3"/>
      <c r="K13" s="72" t="s">
        <v>89</v>
      </c>
      <c r="L13" s="3">
        <f>B15</f>
        <v>279179756</v>
      </c>
      <c r="M13" s="3">
        <f>B14</f>
        <v>277194946</v>
      </c>
      <c r="N13" s="73">
        <f>M13</f>
        <v>277194946</v>
      </c>
      <c r="O13" s="73">
        <f>M13</f>
        <v>277194946</v>
      </c>
      <c r="P13" s="73">
        <f>O13</f>
        <v>277194946</v>
      </c>
    </row>
    <row r="14" spans="1:17" ht="15" thickBot="1" x14ac:dyDescent="0.35">
      <c r="A14" s="12" t="s">
        <v>19</v>
      </c>
      <c r="B14">
        <v>277194946</v>
      </c>
      <c r="C14" s="152">
        <f>B14</f>
        <v>277194946</v>
      </c>
      <c r="D14" s="153"/>
      <c r="E14" s="152">
        <f t="shared" si="0"/>
        <v>277194946</v>
      </c>
      <c r="F14" s="153"/>
      <c r="G14" s="152">
        <f t="shared" si="1"/>
        <v>277194946</v>
      </c>
      <c r="H14" s="153"/>
      <c r="I14" s="3"/>
      <c r="J14" s="3"/>
      <c r="K14" s="77" t="s">
        <v>90</v>
      </c>
      <c r="L14" s="78"/>
      <c r="M14" s="79">
        <v>0</v>
      </c>
      <c r="N14" s="117">
        <v>1500000000</v>
      </c>
      <c r="O14" s="80">
        <v>0</v>
      </c>
      <c r="P14" s="80">
        <v>0</v>
      </c>
    </row>
    <row r="15" spans="1:17" x14ac:dyDescent="0.3">
      <c r="A15" s="12" t="s">
        <v>79</v>
      </c>
      <c r="B15">
        <v>279179756</v>
      </c>
      <c r="C15" s="152">
        <f>B15</f>
        <v>279179756</v>
      </c>
      <c r="D15" s="153"/>
      <c r="E15" s="152">
        <f t="shared" si="0"/>
        <v>279179756</v>
      </c>
      <c r="F15" s="153"/>
      <c r="G15" s="152">
        <f t="shared" si="1"/>
        <v>279179756</v>
      </c>
      <c r="H15" s="153"/>
      <c r="I15" s="3"/>
      <c r="J15" s="3"/>
    </row>
    <row r="16" spans="1:17" ht="33" x14ac:dyDescent="0.6">
      <c r="A16" s="12" t="s">
        <v>20</v>
      </c>
      <c r="B16" s="59">
        <f>B13*B14</f>
        <v>159525691397.22089</v>
      </c>
      <c r="C16" s="143">
        <f>C13*C14</f>
        <v>159525691397.22089</v>
      </c>
      <c r="D16" s="144"/>
      <c r="E16" s="143">
        <f t="shared" si="0"/>
        <v>159525691397.22089</v>
      </c>
      <c r="F16" s="144"/>
      <c r="G16" s="143">
        <f t="shared" si="1"/>
        <v>159525691397.22089</v>
      </c>
      <c r="H16" s="144"/>
      <c r="I16" s="3"/>
      <c r="J16" s="3"/>
      <c r="K16" s="132" t="s">
        <v>91</v>
      </c>
      <c r="L16" s="133"/>
      <c r="M16" s="133"/>
      <c r="N16" s="133"/>
      <c r="O16" s="133"/>
      <c r="P16" s="133"/>
      <c r="Q16" s="133"/>
    </row>
    <row r="17" spans="1:17" x14ac:dyDescent="0.3">
      <c r="A17" s="12" t="s">
        <v>21</v>
      </c>
      <c r="B17" s="59">
        <f>[1]Valuation!$I$40*10000000</f>
        <v>674599999.99999988</v>
      </c>
      <c r="C17" s="143">
        <f>B17</f>
        <v>674599999.99999988</v>
      </c>
      <c r="D17" s="144"/>
      <c r="E17" s="143">
        <f t="shared" si="0"/>
        <v>674599999.99999988</v>
      </c>
      <c r="F17" s="144"/>
      <c r="G17" s="143">
        <f t="shared" si="1"/>
        <v>674599999.99999988</v>
      </c>
      <c r="H17" s="144"/>
      <c r="I17" s="3"/>
      <c r="J17" s="3"/>
      <c r="K17" s="91" t="s">
        <v>92</v>
      </c>
      <c r="L17" s="91"/>
      <c r="M17" s="91"/>
      <c r="N17" s="91"/>
      <c r="O17" s="91"/>
      <c r="P17" s="91"/>
      <c r="Q17" s="91"/>
    </row>
    <row r="18" spans="1:17" x14ac:dyDescent="0.3">
      <c r="A18" s="12" t="s">
        <v>22</v>
      </c>
      <c r="B18" s="59">
        <f>[1]Valuation!$I$42*10000000</f>
        <v>2349500000</v>
      </c>
      <c r="C18" s="143">
        <f>B18</f>
        <v>2349500000</v>
      </c>
      <c r="D18" s="144"/>
      <c r="E18" s="143">
        <f t="shared" si="0"/>
        <v>2349500000</v>
      </c>
      <c r="F18" s="144"/>
      <c r="G18" s="143">
        <f t="shared" si="1"/>
        <v>2349500000</v>
      </c>
      <c r="H18" s="144"/>
      <c r="I18" s="3"/>
      <c r="J18" s="3"/>
      <c r="K18" s="91" t="s">
        <v>93</v>
      </c>
      <c r="L18" s="91"/>
      <c r="M18" s="91"/>
      <c r="N18" s="91"/>
      <c r="O18" s="91"/>
      <c r="P18" s="91"/>
      <c r="Q18" s="91"/>
    </row>
    <row r="19" spans="1:17" x14ac:dyDescent="0.3">
      <c r="A19" s="12" t="s">
        <v>23</v>
      </c>
      <c r="B19" s="59">
        <f>B16+B17-B18</f>
        <v>157850791397.22089</v>
      </c>
      <c r="C19" s="143">
        <f>C16+C17-C18</f>
        <v>157850791397.22089</v>
      </c>
      <c r="D19" s="144"/>
      <c r="E19" s="143">
        <f t="shared" si="0"/>
        <v>157850791397.22089</v>
      </c>
      <c r="F19" s="144"/>
      <c r="G19" s="143">
        <f t="shared" si="1"/>
        <v>157850791397.22089</v>
      </c>
      <c r="H19" s="144"/>
      <c r="I19" s="3"/>
      <c r="J19" s="3"/>
      <c r="K19" s="91" t="s">
        <v>94</v>
      </c>
      <c r="L19" s="91"/>
      <c r="M19" s="91"/>
      <c r="N19" s="91"/>
      <c r="O19" s="91"/>
      <c r="P19" s="91"/>
      <c r="Q19" s="91"/>
    </row>
    <row r="20" spans="1:17" x14ac:dyDescent="0.3">
      <c r="A20" s="12"/>
      <c r="B20" s="15"/>
      <c r="C20" s="152"/>
      <c r="D20" s="153"/>
      <c r="E20" s="152"/>
      <c r="F20" s="153"/>
      <c r="G20" s="152"/>
      <c r="H20" s="153"/>
      <c r="I20" s="3"/>
      <c r="J20" s="3"/>
      <c r="K20" s="91"/>
      <c r="L20" s="91"/>
      <c r="M20" s="91"/>
      <c r="N20" s="91"/>
      <c r="O20" s="91"/>
      <c r="P20" s="91"/>
      <c r="Q20" s="91"/>
    </row>
    <row r="21" spans="1:17" x14ac:dyDescent="0.3">
      <c r="A21" s="16" t="s">
        <v>24</v>
      </c>
      <c r="B21" s="14"/>
      <c r="C21" s="137"/>
      <c r="D21" s="138"/>
      <c r="E21" s="137"/>
      <c r="F21" s="138"/>
      <c r="G21" s="137"/>
      <c r="H21" s="138"/>
      <c r="I21" s="3"/>
      <c r="J21" s="3"/>
      <c r="K21" s="14"/>
      <c r="L21" s="13" t="s">
        <v>7</v>
      </c>
      <c r="M21" s="13" t="s">
        <v>81</v>
      </c>
      <c r="N21" s="13" t="s">
        <v>95</v>
      </c>
      <c r="O21" s="91"/>
      <c r="P21" s="91"/>
      <c r="Q21" s="91"/>
    </row>
    <row r="22" spans="1:17" x14ac:dyDescent="0.3">
      <c r="A22" s="139" t="s">
        <v>25</v>
      </c>
      <c r="B22" s="140"/>
      <c r="C22" s="17">
        <v>0.5</v>
      </c>
      <c r="D22" s="123">
        <f>C22*B16</f>
        <v>79762845698.610443</v>
      </c>
      <c r="E22" s="17">
        <v>1</v>
      </c>
      <c r="F22" s="61">
        <f>E22*B16</f>
        <v>159525691397.22089</v>
      </c>
      <c r="G22" s="17">
        <v>0</v>
      </c>
      <c r="H22" s="18">
        <f>G22*B16</f>
        <v>0</v>
      </c>
      <c r="I22" s="3"/>
      <c r="J22" s="3"/>
      <c r="K22" s="13" t="s">
        <v>96</v>
      </c>
      <c r="L22" s="114">
        <f>L9</f>
        <v>8248</v>
      </c>
      <c r="M22" s="114">
        <f>M9</f>
        <v>523</v>
      </c>
      <c r="N22" s="14"/>
      <c r="O22" s="91"/>
      <c r="P22" s="91"/>
      <c r="Q22" s="91"/>
    </row>
    <row r="23" spans="1:17" x14ac:dyDescent="0.3">
      <c r="A23" s="139" t="s">
        <v>26</v>
      </c>
      <c r="B23" s="140"/>
      <c r="C23" s="17">
        <f>1-C22</f>
        <v>0.5</v>
      </c>
      <c r="D23" s="18">
        <f>C23*B16</f>
        <v>79762845698.610443</v>
      </c>
      <c r="E23" s="17">
        <f>1-E22</f>
        <v>0</v>
      </c>
      <c r="F23" s="18">
        <f>E23*B16</f>
        <v>0</v>
      </c>
      <c r="G23" s="17">
        <f>1-G22</f>
        <v>1</v>
      </c>
      <c r="H23" s="61">
        <f>G23*B16</f>
        <v>159525691397.22089</v>
      </c>
      <c r="I23" s="3"/>
      <c r="J23" s="3"/>
      <c r="K23" s="13" t="s">
        <v>97</v>
      </c>
      <c r="L23" s="115" t="e">
        <f>L12</f>
        <v>#REF!</v>
      </c>
      <c r="M23" s="92">
        <f>M12</f>
        <v>44.803588589999997</v>
      </c>
      <c r="N23" s="14"/>
      <c r="O23" s="91"/>
      <c r="P23" s="91"/>
      <c r="Q23" s="91"/>
    </row>
    <row r="24" spans="1:17" x14ac:dyDescent="0.3">
      <c r="A24" s="12"/>
      <c r="B24" s="14"/>
      <c r="C24" s="141"/>
      <c r="D24" s="142"/>
      <c r="E24" s="141"/>
      <c r="F24" s="142"/>
      <c r="G24" s="141"/>
      <c r="H24" s="142"/>
      <c r="I24" s="3"/>
      <c r="J24" s="3"/>
      <c r="K24" s="13" t="s">
        <v>98</v>
      </c>
      <c r="L24" s="114" t="e">
        <f>L22/L23</f>
        <v>#REF!</v>
      </c>
      <c r="M24" s="114">
        <f>M22/M23</f>
        <v>11.673172093110679</v>
      </c>
      <c r="N24" s="19">
        <f>N26/N25</f>
        <v>188.11296447082637</v>
      </c>
      <c r="O24" s="91"/>
      <c r="P24" s="91"/>
      <c r="Q24" s="91"/>
    </row>
    <row r="25" spans="1:17" x14ac:dyDescent="0.3">
      <c r="A25" s="12" t="s">
        <v>27</v>
      </c>
      <c r="B25" s="19"/>
      <c r="C25" s="135">
        <f>C11/C10</f>
        <v>6.3409311348205627E-2</v>
      </c>
      <c r="D25" s="136"/>
      <c r="E25" s="135">
        <f>E11/E10</f>
        <v>6.3409311348205627E-2</v>
      </c>
      <c r="F25" s="136"/>
      <c r="G25" s="135">
        <f>G11/G10</f>
        <v>6.3409311348205627E-2</v>
      </c>
      <c r="H25" s="136"/>
      <c r="I25" s="3"/>
      <c r="J25" s="3"/>
      <c r="K25" s="13" t="s">
        <v>99</v>
      </c>
      <c r="L25" s="14">
        <f>L13</f>
        <v>279179756</v>
      </c>
      <c r="M25" s="14">
        <f>M13</f>
        <v>277194946</v>
      </c>
      <c r="N25" s="93">
        <f>L25+L29</f>
        <v>296756496.63506305</v>
      </c>
      <c r="O25" s="91"/>
      <c r="P25" s="91"/>
      <c r="Q25" s="91"/>
    </row>
    <row r="26" spans="1:17" x14ac:dyDescent="0.3">
      <c r="A26" s="12" t="s">
        <v>28</v>
      </c>
      <c r="B26" s="19"/>
      <c r="C26" s="135">
        <f>C13/C10</f>
        <v>6.9774490774369549E-2</v>
      </c>
      <c r="D26" s="136"/>
      <c r="E26" s="135">
        <f>E13/E10</f>
        <v>6.9774490774369549E-2</v>
      </c>
      <c r="F26" s="136"/>
      <c r="G26" s="135">
        <f>G13/G10</f>
        <v>6.9774490774369549E-2</v>
      </c>
      <c r="H26" s="136"/>
      <c r="I26" s="3"/>
      <c r="J26" s="3"/>
      <c r="K26" s="13" t="s">
        <v>100</v>
      </c>
      <c r="L26" s="114">
        <f>L10</f>
        <v>52588000000</v>
      </c>
      <c r="M26" s="114">
        <f>M10</f>
        <v>3235744307.9985218</v>
      </c>
      <c r="N26" s="59">
        <f>L26+M26</f>
        <v>55823744307.99852</v>
      </c>
      <c r="O26" s="91"/>
      <c r="P26" s="91"/>
      <c r="Q26" s="91"/>
    </row>
    <row r="27" spans="1:17" x14ac:dyDescent="0.3">
      <c r="A27" s="20" t="s">
        <v>29</v>
      </c>
      <c r="B27" s="19"/>
      <c r="C27" s="135">
        <f>C26*C14*0.5</f>
        <v>9670568.1011894327</v>
      </c>
      <c r="D27" s="136"/>
      <c r="E27" s="135">
        <f>E26*E14</f>
        <v>19341136.202378865</v>
      </c>
      <c r="F27" s="136"/>
      <c r="G27" s="135">
        <f>IF(G22&gt;0,(G26*G14),0)</f>
        <v>0</v>
      </c>
      <c r="H27" s="136"/>
      <c r="I27" s="3"/>
      <c r="J27" s="3"/>
      <c r="K27" s="13" t="s">
        <v>101</v>
      </c>
      <c r="L27" s="14"/>
      <c r="M27" s="14"/>
      <c r="N27" s="59">
        <f>M22*M25</f>
        <v>144972956758</v>
      </c>
      <c r="O27" s="91"/>
      <c r="P27" s="91"/>
      <c r="Q27" s="91"/>
    </row>
    <row r="28" spans="1:17" x14ac:dyDescent="0.3">
      <c r="A28" s="20" t="s">
        <v>30</v>
      </c>
      <c r="B28" s="19" t="s">
        <v>31</v>
      </c>
      <c r="C28" s="21"/>
      <c r="D28" s="21"/>
      <c r="E28" s="21"/>
      <c r="F28" s="21"/>
      <c r="G28" s="21"/>
      <c r="H28" s="21"/>
      <c r="I28" s="22"/>
      <c r="J28" s="22"/>
      <c r="K28" s="13" t="s">
        <v>102</v>
      </c>
      <c r="L28" s="94">
        <f>M22/L22</f>
        <v>6.3409311348205627E-2</v>
      </c>
      <c r="M28" s="14"/>
      <c r="N28" s="14"/>
      <c r="O28" s="91"/>
      <c r="P28" s="91"/>
      <c r="Q28" s="91"/>
    </row>
    <row r="29" spans="1:17" x14ac:dyDescent="0.3">
      <c r="A29" s="20" t="s">
        <v>32</v>
      </c>
      <c r="B29" s="19" t="s">
        <v>33</v>
      </c>
      <c r="C29" s="3"/>
      <c r="D29" s="3"/>
      <c r="E29" s="3"/>
      <c r="F29" s="3"/>
      <c r="G29" s="3"/>
      <c r="H29" s="3"/>
      <c r="I29" s="22"/>
      <c r="J29" s="22"/>
      <c r="K29" s="13" t="s">
        <v>103</v>
      </c>
      <c r="L29" s="93">
        <f>L28*M25</f>
        <v>17576740.635063045</v>
      </c>
      <c r="M29" s="14"/>
      <c r="N29" s="14"/>
      <c r="O29" s="91"/>
      <c r="P29" s="91"/>
      <c r="Q29" s="91"/>
    </row>
    <row r="30" spans="1:17" x14ac:dyDescent="0.3">
      <c r="A30" s="23"/>
      <c r="B30" s="23"/>
      <c r="C30" s="3"/>
      <c r="D30" s="3"/>
      <c r="E30" s="3"/>
      <c r="F30" s="3"/>
      <c r="G30" s="3"/>
      <c r="H30" s="3"/>
      <c r="I30" s="22"/>
      <c r="J30" s="22"/>
      <c r="K30" s="13" t="s">
        <v>104</v>
      </c>
      <c r="L30" s="93"/>
      <c r="M30" s="14"/>
      <c r="N30" s="93">
        <f>L25+L29</f>
        <v>296756496.63506305</v>
      </c>
      <c r="O30" s="91"/>
      <c r="P30" s="91"/>
      <c r="Q30" s="91"/>
    </row>
    <row r="31" spans="1:17" x14ac:dyDescent="0.3">
      <c r="A31" s="23"/>
      <c r="B31" s="23"/>
      <c r="C31" s="3"/>
      <c r="D31" s="3"/>
      <c r="E31" s="3"/>
      <c r="F31" s="3"/>
      <c r="G31" s="3"/>
      <c r="H31" s="3"/>
      <c r="I31" s="22"/>
      <c r="J31" s="22"/>
      <c r="K31" s="13" t="s">
        <v>105</v>
      </c>
      <c r="L31" s="93"/>
      <c r="M31" s="14"/>
      <c r="N31" s="59">
        <f>L26+M26</f>
        <v>55823744307.99852</v>
      </c>
      <c r="O31" s="91"/>
      <c r="P31" s="91"/>
      <c r="Q31" s="91"/>
    </row>
    <row r="32" spans="1:17" x14ac:dyDescent="0.3">
      <c r="A32" s="23"/>
      <c r="B32" s="23"/>
      <c r="C32" s="3"/>
      <c r="D32" s="3"/>
      <c r="E32" s="3"/>
      <c r="F32" s="3"/>
      <c r="G32" s="3"/>
      <c r="H32" s="3"/>
      <c r="I32" s="22"/>
      <c r="J32" s="22"/>
      <c r="K32" s="13" t="s">
        <v>106</v>
      </c>
      <c r="L32" s="93"/>
      <c r="M32" s="14"/>
      <c r="N32" s="19">
        <f>N31/N30</f>
        <v>188.11296447082637</v>
      </c>
      <c r="O32" s="91"/>
      <c r="P32" s="91"/>
      <c r="Q32" s="91"/>
    </row>
    <row r="33" spans="1:17" ht="33" customHeight="1" x14ac:dyDescent="0.6">
      <c r="A33" s="134" t="s">
        <v>34</v>
      </c>
      <c r="B33" s="134"/>
      <c r="C33" s="134"/>
      <c r="D33" s="134"/>
      <c r="E33" s="134"/>
      <c r="F33" s="134"/>
      <c r="G33" s="134"/>
      <c r="H33" s="24"/>
      <c r="I33" s="3"/>
      <c r="J33" s="3"/>
      <c r="K33" s="13" t="s">
        <v>107</v>
      </c>
      <c r="L33" s="93"/>
      <c r="M33" s="14"/>
      <c r="N33" s="19" t="e">
        <f>L24</f>
        <v>#REF!</v>
      </c>
      <c r="O33" s="91"/>
      <c r="P33" s="91"/>
      <c r="Q33" s="91"/>
    </row>
    <row r="34" spans="1:17" ht="15.6" x14ac:dyDescent="0.3">
      <c r="A34" s="26" t="s">
        <v>35</v>
      </c>
      <c r="B34" s="3">
        <v>52588000000</v>
      </c>
      <c r="C34" s="26"/>
      <c r="D34" s="28"/>
      <c r="E34" s="28"/>
      <c r="F34" s="28"/>
      <c r="G34" s="28"/>
      <c r="H34" s="28"/>
      <c r="I34" s="3"/>
      <c r="J34" s="3"/>
      <c r="K34" s="95" t="s">
        <v>108</v>
      </c>
      <c r="L34" s="96"/>
      <c r="M34" s="97"/>
      <c r="N34" s="96" t="e">
        <f>N24/L24-1</f>
        <v>#REF!</v>
      </c>
      <c r="O34" s="91"/>
      <c r="P34" s="91"/>
      <c r="Q34" s="91"/>
    </row>
    <row r="35" spans="1:17" ht="15.6" x14ac:dyDescent="0.3">
      <c r="A35" s="26" t="s">
        <v>36</v>
      </c>
      <c r="B35" s="27">
        <f>[1]Valuation!$F$14*10000000</f>
        <v>2646200000</v>
      </c>
      <c r="C35" s="26"/>
      <c r="D35" s="28"/>
      <c r="E35" s="28"/>
      <c r="F35" s="28"/>
      <c r="G35" s="28"/>
      <c r="H35" s="28"/>
      <c r="I35" s="3"/>
      <c r="J35" s="3"/>
      <c r="K35" s="98"/>
      <c r="L35" s="99"/>
      <c r="M35" s="28"/>
      <c r="N35" s="28"/>
      <c r="O35" s="28"/>
      <c r="P35" s="28"/>
      <c r="Q35" s="28"/>
    </row>
    <row r="36" spans="1:17" ht="15.6" x14ac:dyDescent="0.3">
      <c r="A36" s="26" t="s">
        <v>37</v>
      </c>
      <c r="B36" s="27">
        <f>300*10000000</f>
        <v>3000000000</v>
      </c>
      <c r="C36" s="26"/>
      <c r="D36" s="28"/>
      <c r="E36" s="28"/>
      <c r="F36" s="28"/>
      <c r="G36" s="28"/>
      <c r="H36" s="28"/>
      <c r="I36" s="3"/>
      <c r="J36" s="3"/>
      <c r="K36" s="98"/>
      <c r="L36" s="99"/>
      <c r="M36" s="28"/>
      <c r="N36" s="28"/>
      <c r="O36" s="28"/>
      <c r="P36" s="28"/>
      <c r="Q36" s="28"/>
    </row>
    <row r="37" spans="1:17" ht="15.6" x14ac:dyDescent="0.3">
      <c r="A37" s="29" t="s">
        <v>38</v>
      </c>
      <c r="B37" s="30">
        <f>SUM(B34:B36)</f>
        <v>58234200000</v>
      </c>
      <c r="C37" s="26"/>
      <c r="D37" s="28"/>
      <c r="E37" s="28"/>
      <c r="F37" s="28"/>
      <c r="G37" s="28"/>
      <c r="H37" s="28"/>
      <c r="I37" s="3"/>
      <c r="J37" s="3"/>
      <c r="K37" s="98"/>
      <c r="L37" s="99"/>
      <c r="M37" s="28"/>
      <c r="N37" s="28"/>
      <c r="O37" s="28"/>
      <c r="P37" s="28"/>
      <c r="Q37" s="28"/>
    </row>
    <row r="38" spans="1:17" ht="15.6" x14ac:dyDescent="0.3">
      <c r="A38" s="26" t="s">
        <v>39</v>
      </c>
      <c r="B38" s="27">
        <v>0</v>
      </c>
      <c r="C38" s="26"/>
      <c r="D38" s="28"/>
      <c r="E38" s="28"/>
      <c r="F38" s="28"/>
      <c r="G38" s="28"/>
      <c r="H38" s="28"/>
      <c r="I38" s="3"/>
      <c r="J38" s="3"/>
      <c r="K38" s="91"/>
      <c r="L38" s="91"/>
      <c r="M38" s="91"/>
      <c r="N38" s="91"/>
      <c r="O38" s="91"/>
      <c r="P38" s="91"/>
      <c r="Q38" s="91"/>
    </row>
    <row r="39" spans="1:17" ht="33" x14ac:dyDescent="0.6">
      <c r="A39" s="26" t="s">
        <v>40</v>
      </c>
      <c r="B39" s="27">
        <v>0</v>
      </c>
      <c r="C39" s="26"/>
      <c r="D39" s="28"/>
      <c r="E39" s="28"/>
      <c r="F39" s="28"/>
      <c r="G39" s="28"/>
      <c r="H39" s="28"/>
      <c r="I39" s="3"/>
      <c r="J39" s="3"/>
      <c r="K39" s="132" t="s">
        <v>123</v>
      </c>
      <c r="L39" s="133"/>
      <c r="M39" s="133"/>
      <c r="N39" s="133"/>
      <c r="O39" s="133"/>
      <c r="P39" s="133"/>
      <c r="Q39" s="133"/>
    </row>
    <row r="40" spans="1:17" ht="15.6" x14ac:dyDescent="0.3">
      <c r="A40" s="26" t="s">
        <v>41</v>
      </c>
      <c r="B40" s="27">
        <v>0</v>
      </c>
      <c r="C40" s="26"/>
      <c r="D40" s="28"/>
      <c r="E40" s="28"/>
      <c r="F40" s="28"/>
      <c r="G40" s="28"/>
      <c r="H40" s="28"/>
      <c r="I40" s="3"/>
      <c r="J40" s="3"/>
      <c r="K40" s="91" t="s">
        <v>92</v>
      </c>
      <c r="L40" s="91"/>
      <c r="M40" s="91"/>
      <c r="N40" s="91"/>
      <c r="O40" s="91"/>
      <c r="P40" s="91"/>
      <c r="Q40" s="91"/>
    </row>
    <row r="41" spans="1:17" ht="15.6" x14ac:dyDescent="0.3">
      <c r="A41" s="26" t="s">
        <v>42</v>
      </c>
      <c r="B41" s="31">
        <v>0.05</v>
      </c>
      <c r="C41" s="26"/>
      <c r="D41" s="28"/>
      <c r="E41" s="28"/>
      <c r="F41" s="28"/>
      <c r="G41" s="28"/>
      <c r="H41" s="28"/>
      <c r="I41" s="3"/>
      <c r="J41" s="3"/>
      <c r="K41" s="91" t="s">
        <v>93</v>
      </c>
      <c r="L41" s="91"/>
      <c r="M41" s="91"/>
      <c r="N41" s="91"/>
      <c r="O41" s="91"/>
      <c r="P41" s="91"/>
      <c r="Q41" s="91"/>
    </row>
    <row r="42" spans="1:17" ht="15.6" x14ac:dyDescent="0.3">
      <c r="A42" s="26" t="s">
        <v>43</v>
      </c>
      <c r="B42" s="31">
        <v>0.05</v>
      </c>
      <c r="C42" s="26"/>
      <c r="D42" s="28"/>
      <c r="E42" s="28"/>
      <c r="F42" s="28"/>
      <c r="G42" s="28"/>
      <c r="H42" s="28"/>
      <c r="I42" s="3"/>
      <c r="J42" s="3"/>
      <c r="K42" s="91" t="s">
        <v>94</v>
      </c>
      <c r="L42" s="91"/>
      <c r="M42" s="91"/>
      <c r="N42" s="91"/>
      <c r="O42" s="91"/>
      <c r="P42" s="91"/>
      <c r="Q42" s="91"/>
    </row>
    <row r="43" spans="1:17" ht="15.6" x14ac:dyDescent="0.3">
      <c r="A43" s="29" t="s">
        <v>44</v>
      </c>
      <c r="B43" s="30">
        <f>B37-B38-B39-B40</f>
        <v>58234200000</v>
      </c>
      <c r="C43" s="26"/>
      <c r="D43" s="28"/>
      <c r="E43" s="28"/>
      <c r="F43" s="28"/>
      <c r="G43" s="28"/>
      <c r="H43" s="28"/>
      <c r="I43" s="3"/>
      <c r="J43" s="3"/>
      <c r="K43" s="91" t="s">
        <v>113</v>
      </c>
      <c r="L43" s="91"/>
      <c r="M43" s="91"/>
      <c r="N43" s="91"/>
      <c r="O43" s="91"/>
      <c r="P43" s="91"/>
      <c r="Q43" s="91"/>
    </row>
    <row r="44" spans="1:17" ht="15.6" x14ac:dyDescent="0.3">
      <c r="A44" s="26" t="s">
        <v>127</v>
      </c>
      <c r="B44" s="32">
        <v>0.26</v>
      </c>
      <c r="C44" s="26"/>
      <c r="D44" s="28"/>
      <c r="E44" s="28"/>
      <c r="F44" s="28"/>
      <c r="G44" s="28"/>
      <c r="H44" s="28"/>
      <c r="I44" s="3"/>
      <c r="J44" s="3"/>
      <c r="K44" s="14"/>
      <c r="L44" s="13" t="s">
        <v>7</v>
      </c>
      <c r="M44" s="13" t="s">
        <v>81</v>
      </c>
      <c r="N44" s="13" t="s">
        <v>109</v>
      </c>
      <c r="O44" s="91"/>
      <c r="P44" s="91"/>
      <c r="Q44" s="91"/>
    </row>
    <row r="45" spans="1:17" ht="15.6" x14ac:dyDescent="0.3">
      <c r="A45" s="26" t="s">
        <v>45</v>
      </c>
      <c r="B45" s="33">
        <f>B44*B43</f>
        <v>15140892000</v>
      </c>
      <c r="C45" s="26"/>
      <c r="D45" s="28"/>
      <c r="E45" s="28"/>
      <c r="F45" s="28"/>
      <c r="G45" s="28"/>
      <c r="H45" s="28"/>
      <c r="I45" s="3"/>
      <c r="J45" s="3"/>
      <c r="K45" s="13" t="s">
        <v>96</v>
      </c>
      <c r="L45" s="114">
        <f>L9</f>
        <v>8248</v>
      </c>
      <c r="M45" s="114">
        <f>N9</f>
        <v>523</v>
      </c>
      <c r="N45" s="14"/>
      <c r="O45" s="91"/>
      <c r="P45" s="91"/>
      <c r="Q45" s="91"/>
    </row>
    <row r="46" spans="1:17" ht="15.6" x14ac:dyDescent="0.3">
      <c r="A46" s="29" t="s">
        <v>46</v>
      </c>
      <c r="B46" s="30">
        <f>B43-B45</f>
        <v>43093308000</v>
      </c>
      <c r="C46" s="26"/>
      <c r="D46" s="28"/>
      <c r="E46" s="28"/>
      <c r="F46" s="28"/>
      <c r="G46" s="28"/>
      <c r="H46" s="28"/>
      <c r="I46" s="3"/>
      <c r="J46" s="3"/>
      <c r="K46" s="13" t="s">
        <v>97</v>
      </c>
      <c r="L46" s="100">
        <f>L45/L47</f>
        <v>43.787073619228721</v>
      </c>
      <c r="M46" s="101">
        <f>M45/M47</f>
        <v>44.803588589999997</v>
      </c>
      <c r="N46" s="14"/>
      <c r="O46" s="91"/>
      <c r="P46" s="91"/>
      <c r="Q46" s="91"/>
    </row>
    <row r="47" spans="1:17" ht="15.6" x14ac:dyDescent="0.3">
      <c r="A47" s="29" t="s">
        <v>47</v>
      </c>
      <c r="B47" s="30">
        <f>B34*(1-26%)</f>
        <v>38915120000</v>
      </c>
      <c r="C47" s="26"/>
      <c r="D47" s="28"/>
      <c r="E47" s="28"/>
      <c r="F47" s="28"/>
      <c r="G47" s="28"/>
      <c r="H47" s="28"/>
      <c r="I47" s="3"/>
      <c r="J47" s="3"/>
      <c r="K47" s="13" t="s">
        <v>98</v>
      </c>
      <c r="L47" s="14">
        <f>L49/L48</f>
        <v>188.36609342118632</v>
      </c>
      <c r="M47" s="14">
        <f>M49/M48</f>
        <v>11.673172093110679</v>
      </c>
      <c r="N47" s="19">
        <f>N49/N48</f>
        <v>188.11296447082637</v>
      </c>
      <c r="O47" s="91"/>
      <c r="P47" s="91"/>
      <c r="Q47" s="91"/>
    </row>
    <row r="48" spans="1:17" ht="15.6" x14ac:dyDescent="0.3">
      <c r="A48" s="29"/>
      <c r="B48" s="30"/>
      <c r="C48" s="26"/>
      <c r="D48" s="28"/>
      <c r="E48" s="28"/>
      <c r="F48" s="28"/>
      <c r="G48" s="28"/>
      <c r="H48" s="28"/>
      <c r="I48" s="3"/>
      <c r="J48" s="3"/>
      <c r="K48" s="13" t="s">
        <v>99</v>
      </c>
      <c r="L48" s="14">
        <f>L13</f>
        <v>279179756</v>
      </c>
      <c r="M48" s="14">
        <f>N13</f>
        <v>277194946</v>
      </c>
      <c r="N48" s="93">
        <f>N53</f>
        <v>296756496.63506305</v>
      </c>
      <c r="O48" s="91"/>
      <c r="P48" s="91"/>
      <c r="Q48" s="91"/>
    </row>
    <row r="49" spans="1:17" ht="15.6" x14ac:dyDescent="0.3">
      <c r="A49" s="29" t="s">
        <v>48</v>
      </c>
      <c r="B49" s="27"/>
      <c r="C49" s="26"/>
      <c r="D49" s="28"/>
      <c r="E49" s="28"/>
      <c r="F49" s="28"/>
      <c r="G49" s="28"/>
      <c r="H49" s="28"/>
      <c r="I49" s="3"/>
      <c r="J49" s="3"/>
      <c r="K49" s="13" t="s">
        <v>100</v>
      </c>
      <c r="L49" s="114">
        <f>L10</f>
        <v>52588000000</v>
      </c>
      <c r="M49" s="114">
        <f>N10</f>
        <v>3235744307.9985218</v>
      </c>
      <c r="N49" s="59">
        <f>N54</f>
        <v>55823744307.99852</v>
      </c>
      <c r="O49" s="91"/>
      <c r="P49" s="91"/>
      <c r="Q49" s="91"/>
    </row>
    <row r="50" spans="1:17" ht="15.6" x14ac:dyDescent="0.3">
      <c r="A50" s="26" t="s">
        <v>49</v>
      </c>
      <c r="B50" s="27">
        <f>B15</f>
        <v>279179756</v>
      </c>
      <c r="C50" s="26"/>
      <c r="D50" s="28"/>
      <c r="E50" s="28"/>
      <c r="F50" s="28"/>
      <c r="G50" s="28"/>
      <c r="H50" s="28"/>
      <c r="I50" s="3"/>
      <c r="J50" s="3"/>
      <c r="K50" s="13" t="s">
        <v>101</v>
      </c>
      <c r="L50" s="14"/>
      <c r="M50" s="14"/>
      <c r="N50" s="59">
        <f>M45*M48</f>
        <v>144972956758</v>
      </c>
      <c r="O50" s="91"/>
      <c r="P50" s="91"/>
      <c r="Q50" s="91"/>
    </row>
    <row r="51" spans="1:17" ht="15.6" x14ac:dyDescent="0.3">
      <c r="A51" s="26" t="s">
        <v>50</v>
      </c>
      <c r="B51" s="34">
        <f>B27</f>
        <v>0</v>
      </c>
      <c r="C51" s="26"/>
      <c r="D51" s="28"/>
      <c r="E51" s="28"/>
      <c r="F51" s="28"/>
      <c r="G51" s="28"/>
      <c r="H51" s="28"/>
      <c r="I51" s="3"/>
      <c r="J51" s="3"/>
      <c r="K51" s="13" t="s">
        <v>102</v>
      </c>
      <c r="L51" s="94">
        <f>M45/L45</f>
        <v>6.3409311348205627E-2</v>
      </c>
      <c r="M51" s="14"/>
      <c r="N51" s="14"/>
      <c r="O51" s="91"/>
      <c r="P51" s="91"/>
      <c r="Q51" s="91"/>
    </row>
    <row r="52" spans="1:17" ht="15.6" x14ac:dyDescent="0.3">
      <c r="A52" s="26" t="s">
        <v>51</v>
      </c>
      <c r="B52" s="34">
        <f>B50+B51</f>
        <v>279179756</v>
      </c>
      <c r="C52" s="26"/>
      <c r="D52" s="28"/>
      <c r="E52" s="28"/>
      <c r="F52" s="28"/>
      <c r="G52" s="28"/>
      <c r="H52" s="28"/>
      <c r="I52" s="3"/>
      <c r="J52" s="3"/>
      <c r="K52" s="13" t="s">
        <v>103</v>
      </c>
      <c r="L52" s="93">
        <f>L51*M48</f>
        <v>17576740.635063045</v>
      </c>
      <c r="M52" s="14"/>
      <c r="N52" s="14"/>
      <c r="O52" s="91"/>
      <c r="P52" s="91"/>
      <c r="Q52" s="91"/>
    </row>
    <row r="53" spans="1:17" ht="15.6" x14ac:dyDescent="0.3">
      <c r="A53" s="26" t="s">
        <v>52</v>
      </c>
      <c r="B53" s="32">
        <v>0.1</v>
      </c>
      <c r="C53" s="35"/>
      <c r="D53" s="35"/>
      <c r="E53" s="35"/>
      <c r="F53" s="35"/>
      <c r="G53" s="35"/>
      <c r="H53" s="35"/>
      <c r="I53" s="36"/>
      <c r="J53" s="36"/>
      <c r="K53" s="13" t="s">
        <v>104</v>
      </c>
      <c r="L53" s="93"/>
      <c r="M53" s="14"/>
      <c r="N53" s="93">
        <f>L52+L48</f>
        <v>296756496.63506305</v>
      </c>
      <c r="O53" s="91"/>
      <c r="P53" s="91"/>
      <c r="Q53" s="91"/>
    </row>
    <row r="54" spans="1:17" ht="15.6" x14ac:dyDescent="0.3">
      <c r="A54" s="26" t="s">
        <v>53</v>
      </c>
      <c r="B54" s="37">
        <v>7.4999999999999997E-2</v>
      </c>
      <c r="C54" s="35"/>
      <c r="D54" s="35"/>
      <c r="E54" s="35"/>
      <c r="F54" s="35"/>
      <c r="G54" s="35"/>
      <c r="H54" s="35"/>
      <c r="I54" s="36"/>
      <c r="J54" s="36"/>
      <c r="K54" s="13" t="s">
        <v>105</v>
      </c>
      <c r="L54" s="93"/>
      <c r="M54" s="14"/>
      <c r="N54" s="59">
        <f>L49+M49</f>
        <v>55823744307.99852</v>
      </c>
      <c r="O54" s="91"/>
      <c r="P54" s="91"/>
      <c r="Q54" s="91"/>
    </row>
    <row r="55" spans="1:17" ht="15.6" x14ac:dyDescent="0.3">
      <c r="A55" s="26" t="s">
        <v>54</v>
      </c>
      <c r="B55" s="32">
        <v>0.105</v>
      </c>
      <c r="C55" s="35"/>
      <c r="D55" s="35"/>
      <c r="E55" s="35"/>
      <c r="F55" s="35"/>
      <c r="G55" s="35"/>
      <c r="H55" s="35"/>
      <c r="I55" s="36"/>
      <c r="J55" s="36"/>
      <c r="K55" s="13" t="s">
        <v>111</v>
      </c>
      <c r="L55" s="116">
        <f>N14</f>
        <v>1500000000</v>
      </c>
      <c r="M55" s="14"/>
      <c r="N55" s="93"/>
      <c r="O55" s="91"/>
      <c r="P55" s="91"/>
      <c r="Q55" s="91"/>
    </row>
    <row r="56" spans="1:17" ht="15.6" x14ac:dyDescent="0.3">
      <c r="A56" s="26" t="s">
        <v>55</v>
      </c>
      <c r="B56" s="32">
        <v>0.05</v>
      </c>
      <c r="C56" s="35"/>
      <c r="D56" s="35"/>
      <c r="E56" s="35"/>
      <c r="F56" s="35"/>
      <c r="G56" s="35"/>
      <c r="H56" s="35"/>
      <c r="I56" s="36"/>
      <c r="J56" s="36"/>
      <c r="K56" s="13" t="s">
        <v>112</v>
      </c>
      <c r="L56" s="93"/>
      <c r="M56" s="14"/>
      <c r="N56" s="59">
        <f>N54+L55</f>
        <v>57323744307.99852</v>
      </c>
      <c r="O56" s="91"/>
      <c r="P56" s="91"/>
      <c r="Q56" s="91"/>
    </row>
    <row r="57" spans="1:17" ht="15.6" x14ac:dyDescent="0.3">
      <c r="A57" s="36"/>
      <c r="B57" s="38"/>
      <c r="C57" s="35"/>
      <c r="D57" s="35"/>
      <c r="E57" s="35"/>
      <c r="F57" s="35"/>
      <c r="G57" s="35"/>
      <c r="H57" s="35"/>
      <c r="I57" s="36"/>
      <c r="J57" s="36"/>
      <c r="K57" s="13" t="s">
        <v>106</v>
      </c>
      <c r="L57" s="93"/>
      <c r="M57" s="14"/>
      <c r="N57" s="19">
        <f>N56/N53</f>
        <v>193.16761371021479</v>
      </c>
      <c r="O57" s="91"/>
      <c r="P57" s="91"/>
      <c r="Q57" s="91"/>
    </row>
    <row r="58" spans="1:17" ht="15.6" x14ac:dyDescent="0.3">
      <c r="A58" s="36"/>
      <c r="B58" s="38"/>
      <c r="C58" s="35"/>
      <c r="D58" s="35"/>
      <c r="E58" s="35"/>
      <c r="F58" s="35"/>
      <c r="G58" s="35"/>
      <c r="H58" s="35"/>
      <c r="I58" s="36"/>
      <c r="J58" s="36"/>
      <c r="K58" s="13" t="s">
        <v>107</v>
      </c>
      <c r="L58" s="93"/>
      <c r="M58" s="14"/>
      <c r="N58" s="19">
        <f>L47</f>
        <v>188.36609342118632</v>
      </c>
      <c r="O58" s="91"/>
      <c r="P58" s="91"/>
      <c r="Q58" s="91"/>
    </row>
    <row r="59" spans="1:17" ht="33" customHeight="1" x14ac:dyDescent="0.6">
      <c r="A59" s="134" t="s">
        <v>56</v>
      </c>
      <c r="B59" s="134"/>
      <c r="C59" s="134"/>
      <c r="D59" s="134"/>
      <c r="E59" s="134"/>
      <c r="F59" s="134"/>
      <c r="G59" s="134"/>
      <c r="H59" s="3"/>
      <c r="I59" s="3"/>
      <c r="J59" s="3"/>
      <c r="K59" s="13" t="s">
        <v>108</v>
      </c>
      <c r="L59" s="103"/>
      <c r="M59" s="14"/>
      <c r="N59" s="103">
        <f>N57/N58-1</f>
        <v>2.5490364013083244E-2</v>
      </c>
      <c r="O59" s="91"/>
      <c r="P59" s="91"/>
      <c r="Q59" s="91"/>
    </row>
    <row r="60" spans="1:17" ht="15.6" x14ac:dyDescent="0.3">
      <c r="A60" s="39" t="s">
        <v>57</v>
      </c>
      <c r="B60" s="40" t="s">
        <v>58</v>
      </c>
      <c r="C60" s="40" t="s">
        <v>59</v>
      </c>
      <c r="D60" s="40" t="s">
        <v>60</v>
      </c>
      <c r="E60" s="40" t="s">
        <v>61</v>
      </c>
      <c r="F60" s="40" t="s">
        <v>62</v>
      </c>
      <c r="G60" s="40" t="s">
        <v>63</v>
      </c>
      <c r="H60" s="3"/>
      <c r="I60" s="3"/>
      <c r="J60" s="3"/>
      <c r="K60" s="98"/>
      <c r="L60" s="99"/>
      <c r="M60" s="28"/>
      <c r="N60" s="99"/>
      <c r="O60" s="28"/>
      <c r="P60" s="28"/>
      <c r="Q60" s="28"/>
    </row>
    <row r="61" spans="1:17" ht="15.6" x14ac:dyDescent="0.3">
      <c r="A61" s="41" t="s">
        <v>35</v>
      </c>
      <c r="B61" s="3">
        <v>52588000000</v>
      </c>
      <c r="C61" s="27">
        <f>B61*(1+$B$65)</f>
        <v>57846800000.000008</v>
      </c>
      <c r="D61" s="27">
        <f t="shared" ref="D61:G61" si="2">C61*(1+$B$65)</f>
        <v>63631480000.000015</v>
      </c>
      <c r="E61" s="27">
        <f t="shared" si="2"/>
        <v>69994628000.000015</v>
      </c>
      <c r="F61" s="27">
        <f t="shared" si="2"/>
        <v>76994090800.000031</v>
      </c>
      <c r="G61" s="27">
        <f t="shared" si="2"/>
        <v>84693499880.000046</v>
      </c>
      <c r="H61" s="3"/>
      <c r="I61" s="3"/>
      <c r="J61" s="3"/>
      <c r="K61" s="98"/>
      <c r="L61" s="99"/>
      <c r="M61" s="28"/>
      <c r="N61" s="99"/>
      <c r="O61" s="28"/>
      <c r="P61" s="28"/>
      <c r="Q61" s="28"/>
    </row>
    <row r="62" spans="1:17" ht="15.6" x14ac:dyDescent="0.3">
      <c r="A62" s="41" t="s">
        <v>36</v>
      </c>
      <c r="B62" s="27">
        <f>B35</f>
        <v>2646200000</v>
      </c>
      <c r="C62" s="30"/>
      <c r="D62" s="30"/>
      <c r="E62" s="30"/>
      <c r="F62" s="30"/>
      <c r="G62" s="30"/>
      <c r="H62" s="3"/>
      <c r="I62" s="3"/>
      <c r="J62" s="3"/>
      <c r="K62" s="91"/>
      <c r="L62" s="91"/>
      <c r="M62" s="91"/>
      <c r="N62" s="91"/>
      <c r="O62" s="91"/>
      <c r="P62" s="91"/>
      <c r="Q62" s="91"/>
    </row>
    <row r="63" spans="1:17" ht="33" x14ac:dyDescent="0.6">
      <c r="A63" s="41" t="s">
        <v>37</v>
      </c>
      <c r="B63" s="27">
        <f>B36</f>
        <v>3000000000</v>
      </c>
      <c r="C63" s="27"/>
      <c r="D63" s="27"/>
      <c r="E63" s="27"/>
      <c r="F63" s="27"/>
      <c r="G63" s="27"/>
      <c r="H63" s="3"/>
      <c r="I63" s="3"/>
      <c r="J63" s="3"/>
      <c r="K63" s="132" t="s">
        <v>124</v>
      </c>
      <c r="L63" s="133"/>
      <c r="M63" s="133"/>
      <c r="N63" s="133"/>
      <c r="O63" s="133"/>
      <c r="P63" s="133"/>
      <c r="Q63" s="133"/>
    </row>
    <row r="64" spans="1:17" ht="15.6" x14ac:dyDescent="0.3">
      <c r="A64" s="42" t="s">
        <v>38</v>
      </c>
      <c r="B64" s="30">
        <f>SUM(B61:B63)</f>
        <v>58234200000</v>
      </c>
      <c r="C64" s="30">
        <f>B64*(1+$B$65)</f>
        <v>64057620000.000008</v>
      </c>
      <c r="D64" s="30">
        <f t="shared" ref="D64:G64" si="3">C64*(1+$B$65)</f>
        <v>70463382000.000015</v>
      </c>
      <c r="E64" s="30">
        <f t="shared" si="3"/>
        <v>77509720200.000031</v>
      </c>
      <c r="F64" s="30">
        <f t="shared" si="3"/>
        <v>85260692220.000046</v>
      </c>
      <c r="G64" s="30">
        <f t="shared" si="3"/>
        <v>93786761442.000061</v>
      </c>
      <c r="H64" s="3"/>
      <c r="I64" s="3"/>
      <c r="J64" s="3"/>
      <c r="K64" s="91" t="s">
        <v>114</v>
      </c>
      <c r="L64" s="91"/>
      <c r="M64" s="91"/>
      <c r="N64" s="91"/>
      <c r="O64" s="91"/>
      <c r="P64" s="91"/>
      <c r="Q64" s="91"/>
    </row>
    <row r="65" spans="1:17" ht="15.6" x14ac:dyDescent="0.3">
      <c r="A65" s="41" t="s">
        <v>52</v>
      </c>
      <c r="B65" s="31">
        <f>B53</f>
        <v>0.1</v>
      </c>
      <c r="C65" s="30"/>
      <c r="D65" s="30"/>
      <c r="E65" s="30"/>
      <c r="F65" s="30"/>
      <c r="G65" s="30"/>
      <c r="H65" s="3"/>
      <c r="I65" s="3"/>
      <c r="J65" s="3"/>
      <c r="K65" s="91" t="s">
        <v>93</v>
      </c>
      <c r="L65" s="91"/>
      <c r="M65" s="91"/>
      <c r="N65" s="91"/>
      <c r="O65" s="91"/>
      <c r="P65" s="91"/>
      <c r="Q65" s="91"/>
    </row>
    <row r="66" spans="1:17" ht="15.6" x14ac:dyDescent="0.3">
      <c r="A66" s="41" t="s">
        <v>39</v>
      </c>
      <c r="B66" s="27">
        <f>B38</f>
        <v>0</v>
      </c>
      <c r="C66" s="27">
        <f t="shared" ref="C66:G67" si="4">B66</f>
        <v>0</v>
      </c>
      <c r="D66" s="27">
        <f t="shared" si="4"/>
        <v>0</v>
      </c>
      <c r="E66" s="27">
        <f t="shared" si="4"/>
        <v>0</v>
      </c>
      <c r="F66" s="27">
        <f t="shared" si="4"/>
        <v>0</v>
      </c>
      <c r="G66" s="27">
        <f t="shared" si="4"/>
        <v>0</v>
      </c>
      <c r="H66" s="3"/>
      <c r="I66" s="3"/>
      <c r="J66" s="3"/>
      <c r="K66" s="91" t="s">
        <v>94</v>
      </c>
      <c r="L66" s="91"/>
      <c r="M66" s="91"/>
      <c r="N66" s="91"/>
      <c r="O66" s="91"/>
      <c r="P66" s="91"/>
      <c r="Q66" s="91"/>
    </row>
    <row r="67" spans="1:17" ht="15.6" x14ac:dyDescent="0.3">
      <c r="A67" s="41" t="s">
        <v>40</v>
      </c>
      <c r="B67" s="27">
        <f>B39</f>
        <v>0</v>
      </c>
      <c r="C67" s="27">
        <f t="shared" si="4"/>
        <v>0</v>
      </c>
      <c r="D67" s="27">
        <f t="shared" si="4"/>
        <v>0</v>
      </c>
      <c r="E67" s="27">
        <f t="shared" si="4"/>
        <v>0</v>
      </c>
      <c r="F67" s="27">
        <f t="shared" si="4"/>
        <v>0</v>
      </c>
      <c r="G67" s="27">
        <f t="shared" si="4"/>
        <v>0</v>
      </c>
      <c r="H67" s="3"/>
      <c r="I67" s="3"/>
      <c r="J67" s="3"/>
      <c r="K67" s="91" t="s">
        <v>115</v>
      </c>
      <c r="L67" s="91"/>
      <c r="M67" s="91"/>
      <c r="N67" s="91"/>
      <c r="O67" s="91"/>
      <c r="P67" s="91"/>
      <c r="Q67" s="91"/>
    </row>
    <row r="68" spans="1:17" ht="15.6" x14ac:dyDescent="0.3">
      <c r="A68" s="41" t="s">
        <v>64</v>
      </c>
      <c r="B68" s="27">
        <f>B40</f>
        <v>0</v>
      </c>
      <c r="C68" s="30">
        <f>B68*(1-$D$70)</f>
        <v>0</v>
      </c>
      <c r="D68" s="30">
        <f>C68*(1-$D$70)</f>
        <v>0</v>
      </c>
      <c r="E68" s="30">
        <f>D68*(1-$D$70)</f>
        <v>0</v>
      </c>
      <c r="F68" s="30">
        <f>E68*(1-$D$70)</f>
        <v>0</v>
      </c>
      <c r="G68" s="30">
        <f>F68*(1-$D$70)</f>
        <v>0</v>
      </c>
      <c r="H68" s="3"/>
      <c r="I68" s="3"/>
      <c r="J68" s="3"/>
      <c r="K68" s="14"/>
      <c r="L68" s="104" t="s">
        <v>7</v>
      </c>
      <c r="M68" s="104" t="s">
        <v>81</v>
      </c>
      <c r="N68" s="104" t="s">
        <v>109</v>
      </c>
      <c r="O68" s="104"/>
      <c r="P68" s="91"/>
      <c r="Q68" s="91"/>
    </row>
    <row r="69" spans="1:17" ht="15.6" x14ac:dyDescent="0.3">
      <c r="A69" s="41" t="s">
        <v>55</v>
      </c>
      <c r="B69" s="31">
        <f>B56</f>
        <v>0.05</v>
      </c>
      <c r="C69" s="27"/>
      <c r="D69" s="27"/>
      <c r="E69" s="43"/>
      <c r="F69" s="43"/>
      <c r="G69" s="43"/>
      <c r="H69" s="3"/>
      <c r="I69" s="3"/>
      <c r="J69" s="3"/>
      <c r="K69" s="14" t="s">
        <v>116</v>
      </c>
      <c r="L69" s="104"/>
      <c r="M69" s="104"/>
      <c r="N69" s="104" t="s">
        <v>117</v>
      </c>
      <c r="O69" s="118" t="s">
        <v>118</v>
      </c>
      <c r="P69" s="91"/>
      <c r="Q69" s="91"/>
    </row>
    <row r="70" spans="1:17" ht="15.6" x14ac:dyDescent="0.3">
      <c r="A70" s="41" t="s">
        <v>42</v>
      </c>
      <c r="B70" s="44">
        <f>B41</f>
        <v>0.05</v>
      </c>
      <c r="C70" s="43"/>
      <c r="D70" s="43"/>
      <c r="E70" s="43"/>
      <c r="F70" s="43"/>
      <c r="G70" s="43"/>
      <c r="H70" s="3"/>
      <c r="I70" s="3"/>
      <c r="J70" s="3"/>
      <c r="K70" s="14"/>
      <c r="L70" s="104"/>
      <c r="M70" s="104"/>
      <c r="N70" s="104"/>
      <c r="O70" s="104" t="s">
        <v>126</v>
      </c>
      <c r="P70" s="91"/>
      <c r="Q70" s="91"/>
    </row>
    <row r="71" spans="1:17" ht="15.6" x14ac:dyDescent="0.3">
      <c r="A71" s="41" t="s">
        <v>65</v>
      </c>
      <c r="B71" s="45">
        <f>B70*D230</f>
        <v>0</v>
      </c>
      <c r="C71" s="45">
        <f t="shared" ref="C71:G71" si="5">C70*E230</f>
        <v>0</v>
      </c>
      <c r="D71" s="45">
        <f t="shared" si="5"/>
        <v>0</v>
      </c>
      <c r="E71" s="45">
        <f t="shared" si="5"/>
        <v>0</v>
      </c>
      <c r="F71" s="45">
        <f t="shared" si="5"/>
        <v>0</v>
      </c>
      <c r="G71" s="45">
        <f t="shared" si="5"/>
        <v>0</v>
      </c>
      <c r="H71" s="3"/>
      <c r="I71" s="3"/>
      <c r="J71" s="3"/>
      <c r="K71" s="14" t="s">
        <v>96</v>
      </c>
      <c r="L71" s="114">
        <f>L9</f>
        <v>8248</v>
      </c>
      <c r="M71" s="114">
        <f>M9</f>
        <v>523</v>
      </c>
      <c r="N71" s="14">
        <f>M71</f>
        <v>523</v>
      </c>
      <c r="O71" s="114">
        <f>O9</f>
        <v>575.47371744083955</v>
      </c>
      <c r="P71" s="91"/>
      <c r="Q71" s="91"/>
    </row>
    <row r="72" spans="1:17" ht="15.6" x14ac:dyDescent="0.3">
      <c r="A72" s="41" t="s">
        <v>54</v>
      </c>
      <c r="B72" s="46">
        <f>B55</f>
        <v>0.105</v>
      </c>
      <c r="C72" s="27"/>
      <c r="D72" s="27"/>
      <c r="E72" s="27"/>
      <c r="F72" s="27"/>
      <c r="G72" s="27"/>
      <c r="H72" s="3"/>
      <c r="I72" s="3"/>
      <c r="J72" s="3"/>
      <c r="K72" s="14" t="s">
        <v>97</v>
      </c>
      <c r="L72" s="14">
        <f>L71/L73</f>
        <v>43.787073619228721</v>
      </c>
      <c r="M72" s="58">
        <f>M71/M73</f>
        <v>44.803588589999997</v>
      </c>
      <c r="N72" s="14"/>
      <c r="O72" s="14"/>
      <c r="P72" s="91"/>
      <c r="Q72" s="91"/>
    </row>
    <row r="73" spans="1:17" ht="15.6" x14ac:dyDescent="0.3">
      <c r="A73" s="42" t="s">
        <v>44</v>
      </c>
      <c r="B73" s="30">
        <f t="shared" ref="B73:G73" si="6">B64-B66-B67-B68-B71</f>
        <v>58234200000</v>
      </c>
      <c r="C73" s="30">
        <f t="shared" si="6"/>
        <v>64057620000.000008</v>
      </c>
      <c r="D73" s="30">
        <f t="shared" si="6"/>
        <v>70463382000.000015</v>
      </c>
      <c r="E73" s="30">
        <f t="shared" si="6"/>
        <v>77509720200.000031</v>
      </c>
      <c r="F73" s="30">
        <f t="shared" si="6"/>
        <v>85260692220.000046</v>
      </c>
      <c r="G73" s="30">
        <f t="shared" si="6"/>
        <v>93786761442.000061</v>
      </c>
      <c r="H73" s="3"/>
      <c r="I73" s="3"/>
      <c r="J73" s="3"/>
      <c r="K73" s="14" t="s">
        <v>98</v>
      </c>
      <c r="L73" s="14">
        <f>L75/L74</f>
        <v>188.36609342118632</v>
      </c>
      <c r="M73" s="14">
        <f>M75/M74</f>
        <v>11.673172093110679</v>
      </c>
      <c r="N73" s="19">
        <f>N75/N74</f>
        <v>188.11296447082637</v>
      </c>
      <c r="O73" s="19">
        <f>O75/O74</f>
        <v>187.00168377717281</v>
      </c>
      <c r="P73" s="91"/>
      <c r="Q73" s="91"/>
    </row>
    <row r="74" spans="1:17" ht="15.6" x14ac:dyDescent="0.3">
      <c r="A74" s="41" t="s">
        <v>127</v>
      </c>
      <c r="B74" s="30">
        <f>B73*26%</f>
        <v>15140892000</v>
      </c>
      <c r="C74" s="30">
        <f t="shared" ref="C74:G74" si="7">C73*26%</f>
        <v>16654981200.000002</v>
      </c>
      <c r="D74" s="30">
        <f t="shared" si="7"/>
        <v>18320479320.000004</v>
      </c>
      <c r="E74" s="30">
        <f t="shared" si="7"/>
        <v>20152527252.000008</v>
      </c>
      <c r="F74" s="30">
        <f t="shared" si="7"/>
        <v>22167779977.200012</v>
      </c>
      <c r="G74" s="30">
        <f t="shared" si="7"/>
        <v>24384557974.920017</v>
      </c>
      <c r="H74" s="3"/>
      <c r="I74" s="3"/>
      <c r="J74" s="3"/>
      <c r="K74" s="14" t="s">
        <v>99</v>
      </c>
      <c r="L74" s="14">
        <f>L13</f>
        <v>279179756</v>
      </c>
      <c r="M74" s="14">
        <f>M13</f>
        <v>277194946</v>
      </c>
      <c r="N74" s="93">
        <f>L74+N78</f>
        <v>296756496.63506305</v>
      </c>
      <c r="O74" s="93">
        <f>L74+O78</f>
        <v>298520008.913486</v>
      </c>
      <c r="P74" s="91"/>
      <c r="Q74" s="91"/>
    </row>
    <row r="75" spans="1:17" ht="15.6" x14ac:dyDescent="0.3">
      <c r="A75" s="42" t="s">
        <v>46</v>
      </c>
      <c r="B75" s="30">
        <f t="shared" ref="B75:G75" si="8">B73-B74</f>
        <v>43093308000</v>
      </c>
      <c r="C75" s="30">
        <f t="shared" si="8"/>
        <v>47402638800.000008</v>
      </c>
      <c r="D75" s="30">
        <f t="shared" si="8"/>
        <v>52142902680.000015</v>
      </c>
      <c r="E75" s="30">
        <f t="shared" si="8"/>
        <v>57357192948.000023</v>
      </c>
      <c r="F75" s="30">
        <f t="shared" si="8"/>
        <v>63092912242.800034</v>
      </c>
      <c r="G75" s="30">
        <f t="shared" si="8"/>
        <v>69402203467.080048</v>
      </c>
      <c r="H75" s="3"/>
      <c r="I75" s="3"/>
      <c r="J75" s="3"/>
      <c r="K75" s="14" t="s">
        <v>110</v>
      </c>
      <c r="L75" s="114">
        <f>L10</f>
        <v>52588000000</v>
      </c>
      <c r="M75" s="114">
        <f>M10</f>
        <v>3235744307.9985218</v>
      </c>
      <c r="N75" s="59">
        <f>L75+M75</f>
        <v>55823744307.99852</v>
      </c>
      <c r="O75" s="59">
        <f>N75</f>
        <v>55823744307.99852</v>
      </c>
      <c r="P75" s="91"/>
      <c r="Q75" s="91"/>
    </row>
    <row r="76" spans="1:17" ht="15.6" x14ac:dyDescent="0.3">
      <c r="A76" s="42" t="s">
        <v>66</v>
      </c>
      <c r="B76" s="30">
        <f>B61*(1-26%)</f>
        <v>38915120000</v>
      </c>
      <c r="C76" s="30">
        <f>B76*(1.075)</f>
        <v>41833754000</v>
      </c>
      <c r="D76" s="30">
        <f t="shared" ref="D76:G76" si="9">C76*(1.075)</f>
        <v>44971285550</v>
      </c>
      <c r="E76" s="30">
        <f t="shared" si="9"/>
        <v>48344131966.25</v>
      </c>
      <c r="F76" s="30">
        <f t="shared" si="9"/>
        <v>51969941863.71875</v>
      </c>
      <c r="G76" s="30">
        <f t="shared" si="9"/>
        <v>55867687503.49765</v>
      </c>
      <c r="H76" s="3"/>
      <c r="I76" s="3"/>
      <c r="J76" s="3"/>
      <c r="K76" s="13" t="s">
        <v>101</v>
      </c>
      <c r="L76" s="14"/>
      <c r="M76" s="14"/>
      <c r="N76" s="59">
        <f>N71*M74</f>
        <v>144972956758</v>
      </c>
      <c r="O76" s="59">
        <f>O71*M74</f>
        <v>159518406030.43277</v>
      </c>
      <c r="P76" s="91"/>
      <c r="Q76" s="91"/>
    </row>
    <row r="77" spans="1:17" ht="15.6" x14ac:dyDescent="0.3">
      <c r="A77" s="41" t="s">
        <v>67</v>
      </c>
      <c r="B77" s="46">
        <f>B54</f>
        <v>7.4999999999999997E-2</v>
      </c>
      <c r="C77" s="27"/>
      <c r="D77" s="27"/>
      <c r="E77" s="27"/>
      <c r="F77" s="27"/>
      <c r="G77" s="27"/>
      <c r="H77" s="3"/>
      <c r="I77" s="3"/>
      <c r="J77" s="3"/>
      <c r="K77" s="13" t="s">
        <v>102</v>
      </c>
      <c r="L77" s="14"/>
      <c r="M77" s="14"/>
      <c r="N77" s="94">
        <f>N71/L71</f>
        <v>6.3409311348205627E-2</v>
      </c>
      <c r="O77" s="94">
        <f>O71/L71</f>
        <v>6.97713042484044E-2</v>
      </c>
      <c r="P77" s="91"/>
      <c r="Q77" s="91"/>
    </row>
    <row r="78" spans="1:17" ht="15.6" x14ac:dyDescent="0.3">
      <c r="A78" s="41" t="s">
        <v>49</v>
      </c>
      <c r="B78" s="27">
        <f>B15</f>
        <v>279179756</v>
      </c>
      <c r="C78" s="27">
        <f t="shared" ref="C78:G79" si="10">B78</f>
        <v>279179756</v>
      </c>
      <c r="D78" s="27">
        <f t="shared" si="10"/>
        <v>279179756</v>
      </c>
      <c r="E78" s="27">
        <f t="shared" si="10"/>
        <v>279179756</v>
      </c>
      <c r="F78" s="27">
        <f t="shared" si="10"/>
        <v>279179756</v>
      </c>
      <c r="G78" s="27">
        <f t="shared" si="10"/>
        <v>279179756</v>
      </c>
      <c r="H78" s="3"/>
      <c r="I78" s="3"/>
      <c r="J78" s="3"/>
      <c r="K78" s="13" t="s">
        <v>103</v>
      </c>
      <c r="L78" s="14"/>
      <c r="M78" s="14"/>
      <c r="N78" s="93">
        <f>N77*M74</f>
        <v>17576740.635063045</v>
      </c>
      <c r="O78" s="93">
        <f>O77*M74</f>
        <v>19340252.91348603</v>
      </c>
      <c r="P78" s="91"/>
      <c r="Q78" s="91"/>
    </row>
    <row r="79" spans="1:17" ht="15.6" x14ac:dyDescent="0.3">
      <c r="A79" s="41" t="s">
        <v>50</v>
      </c>
      <c r="B79" s="34">
        <f>C27</f>
        <v>9670568.1011894327</v>
      </c>
      <c r="C79" s="34">
        <f t="shared" si="10"/>
        <v>9670568.1011894327</v>
      </c>
      <c r="D79" s="34">
        <f t="shared" si="10"/>
        <v>9670568.1011894327</v>
      </c>
      <c r="E79" s="34">
        <f t="shared" si="10"/>
        <v>9670568.1011894327</v>
      </c>
      <c r="F79" s="34">
        <f t="shared" si="10"/>
        <v>9670568.1011894327</v>
      </c>
      <c r="G79" s="34">
        <f t="shared" si="10"/>
        <v>9670568.1011894327</v>
      </c>
      <c r="H79" s="3"/>
      <c r="I79" s="3"/>
      <c r="J79" s="3"/>
      <c r="K79" s="13" t="s">
        <v>104</v>
      </c>
      <c r="L79" s="93"/>
      <c r="M79" s="14"/>
      <c r="N79" s="93">
        <f>L74+N78</f>
        <v>296756496.63506305</v>
      </c>
      <c r="O79" s="93">
        <f>L74+O78</f>
        <v>298520008.913486</v>
      </c>
      <c r="P79" s="91"/>
      <c r="Q79" s="91"/>
    </row>
    <row r="80" spans="1:17" ht="15.6" x14ac:dyDescent="0.3">
      <c r="A80" s="41" t="s">
        <v>68</v>
      </c>
      <c r="B80" s="34">
        <f t="shared" ref="B80:G80" si="11">B78+B79</f>
        <v>288850324.10118943</v>
      </c>
      <c r="C80" s="34">
        <f t="shared" si="11"/>
        <v>288850324.10118943</v>
      </c>
      <c r="D80" s="34">
        <f t="shared" si="11"/>
        <v>288850324.10118943</v>
      </c>
      <c r="E80" s="34">
        <f t="shared" si="11"/>
        <v>288850324.10118943</v>
      </c>
      <c r="F80" s="34">
        <f t="shared" si="11"/>
        <v>288850324.10118943</v>
      </c>
      <c r="G80" s="34">
        <f t="shared" si="11"/>
        <v>288850324.10118943</v>
      </c>
      <c r="H80" s="3"/>
      <c r="I80" s="3"/>
      <c r="J80" s="3"/>
      <c r="K80" s="13" t="s">
        <v>105</v>
      </c>
      <c r="L80" s="93"/>
      <c r="M80" s="14"/>
      <c r="N80" s="59">
        <f>L75+M75</f>
        <v>55823744307.99852</v>
      </c>
      <c r="O80" s="59">
        <f>N80</f>
        <v>55823744307.99852</v>
      </c>
      <c r="P80" s="91"/>
      <c r="Q80" s="91"/>
    </row>
    <row r="81" spans="1:17" ht="15.6" x14ac:dyDescent="0.3">
      <c r="A81" s="41"/>
      <c r="B81" s="27"/>
      <c r="C81" s="27"/>
      <c r="D81" s="27"/>
      <c r="E81" s="27"/>
      <c r="F81" s="27"/>
      <c r="G81" s="27"/>
      <c r="H81" s="3"/>
      <c r="I81" s="3"/>
      <c r="J81" s="3"/>
      <c r="K81" s="13" t="s">
        <v>111</v>
      </c>
      <c r="L81" s="93"/>
      <c r="M81" s="14"/>
      <c r="N81" s="59">
        <f>O14</f>
        <v>0</v>
      </c>
      <c r="O81" s="59">
        <f>O14</f>
        <v>0</v>
      </c>
      <c r="P81" s="91"/>
      <c r="Q81" s="91"/>
    </row>
    <row r="82" spans="1:17" ht="15.6" x14ac:dyDescent="0.3">
      <c r="A82" s="47" t="s">
        <v>69</v>
      </c>
      <c r="B82" s="48">
        <f t="shared" ref="B82:G82" si="12">B75/B80</f>
        <v>149.18905884593588</v>
      </c>
      <c r="C82" s="48">
        <f t="shared" si="12"/>
        <v>164.10796473052949</v>
      </c>
      <c r="D82" s="48">
        <f t="shared" si="12"/>
        <v>180.51876120358247</v>
      </c>
      <c r="E82" s="48">
        <f t="shared" si="12"/>
        <v>198.57063732394073</v>
      </c>
      <c r="F82" s="48">
        <f t="shared" si="12"/>
        <v>218.42770105633483</v>
      </c>
      <c r="G82" s="48">
        <f t="shared" si="12"/>
        <v>240.27047116196835</v>
      </c>
      <c r="H82" s="3"/>
      <c r="I82" s="3"/>
      <c r="J82" s="3"/>
      <c r="K82" s="13" t="s">
        <v>112</v>
      </c>
      <c r="L82" s="93"/>
      <c r="M82" s="14"/>
      <c r="N82" s="59">
        <f>N80+N81</f>
        <v>55823744307.99852</v>
      </c>
      <c r="O82" s="59">
        <f>O80+O81</f>
        <v>55823744307.99852</v>
      </c>
      <c r="P82" s="91"/>
      <c r="Q82" s="91"/>
    </row>
    <row r="83" spans="1:17" ht="15.6" x14ac:dyDescent="0.3">
      <c r="A83" s="47" t="s">
        <v>70</v>
      </c>
      <c r="B83" s="49">
        <f t="shared" ref="B83:G83" si="13">B76/B78</f>
        <v>139.39090913167786</v>
      </c>
      <c r="C83" s="49">
        <f t="shared" si="13"/>
        <v>149.84522731655372</v>
      </c>
      <c r="D83" s="49">
        <f t="shared" si="13"/>
        <v>161.08361936529525</v>
      </c>
      <c r="E83" s="49">
        <f t="shared" si="13"/>
        <v>173.1648908176924</v>
      </c>
      <c r="F83" s="49">
        <f t="shared" si="13"/>
        <v>186.15225762901932</v>
      </c>
      <c r="G83" s="49">
        <f t="shared" si="13"/>
        <v>200.11367695119574</v>
      </c>
      <c r="H83" s="3"/>
      <c r="I83" s="3"/>
      <c r="J83" s="3"/>
      <c r="K83" s="13" t="s">
        <v>106</v>
      </c>
      <c r="L83" s="93"/>
      <c r="M83" s="14"/>
      <c r="N83" s="19">
        <f>N82/N79</f>
        <v>188.11296447082637</v>
      </c>
      <c r="O83" s="19">
        <f>O82/O79</f>
        <v>187.00168377717281</v>
      </c>
      <c r="P83" s="91"/>
      <c r="Q83" s="91"/>
    </row>
    <row r="84" spans="1:17" ht="15.6" x14ac:dyDescent="0.3">
      <c r="A84" s="35"/>
      <c r="B84" s="35"/>
      <c r="C84" s="35"/>
      <c r="D84" s="35"/>
      <c r="E84" s="35"/>
      <c r="F84" s="35"/>
      <c r="G84" s="35"/>
      <c r="H84" s="3"/>
      <c r="I84" s="3"/>
      <c r="J84" s="3"/>
      <c r="K84" s="13" t="s">
        <v>107</v>
      </c>
      <c r="L84" s="93"/>
      <c r="M84" s="14"/>
      <c r="N84" s="19">
        <f>L73</f>
        <v>188.36609342118632</v>
      </c>
      <c r="O84" s="19">
        <f>N84</f>
        <v>188.36609342118632</v>
      </c>
      <c r="P84" s="91"/>
      <c r="Q84" s="91"/>
    </row>
    <row r="85" spans="1:17" ht="15.6" x14ac:dyDescent="0.3">
      <c r="A85" s="50" t="s">
        <v>71</v>
      </c>
      <c r="B85" s="51">
        <f>B82-B83</f>
        <v>9.7981497142580167</v>
      </c>
      <c r="C85" s="51">
        <f t="shared" ref="C85:G85" si="14">C82-C83</f>
        <v>14.262737413975771</v>
      </c>
      <c r="D85" s="51">
        <f t="shared" si="14"/>
        <v>19.435141838287223</v>
      </c>
      <c r="E85" s="51">
        <f t="shared" si="14"/>
        <v>25.405746506248335</v>
      </c>
      <c r="F85" s="51">
        <f t="shared" si="14"/>
        <v>32.275443427315508</v>
      </c>
      <c r="G85" s="51">
        <f t="shared" si="14"/>
        <v>40.156794210772603</v>
      </c>
      <c r="H85" s="3"/>
      <c r="I85" s="3"/>
      <c r="J85" s="3"/>
      <c r="K85" s="13" t="s">
        <v>108</v>
      </c>
      <c r="L85" s="103"/>
      <c r="M85" s="14"/>
      <c r="N85" s="103">
        <f>N83/N84-1</f>
        <v>-1.3438137711649922E-3</v>
      </c>
      <c r="O85" s="103">
        <f>O83/O84-1</f>
        <v>-7.243393007905552E-3</v>
      </c>
      <c r="P85" s="91"/>
      <c r="Q85" s="91"/>
    </row>
    <row r="86" spans="1:17" ht="15.6" x14ac:dyDescent="0.3">
      <c r="A86" s="50" t="s">
        <v>72</v>
      </c>
      <c r="B86" s="52">
        <f t="shared" ref="B86:G86" si="15">B82/B83-1</f>
        <v>7.0292602116555747E-2</v>
      </c>
      <c r="C86" s="52">
        <f t="shared" si="15"/>
        <v>9.5183127747173302E-2</v>
      </c>
      <c r="D86" s="52">
        <f t="shared" si="15"/>
        <v>0.12065250281106144</v>
      </c>
      <c r="E86" s="52">
        <f t="shared" si="15"/>
        <v>0.14671418892294663</v>
      </c>
      <c r="F86" s="52">
        <f t="shared" si="15"/>
        <v>0.17338196075836398</v>
      </c>
      <c r="G86" s="52">
        <f t="shared" si="15"/>
        <v>0.2006699133341403</v>
      </c>
      <c r="H86" s="3"/>
      <c r="I86" s="3"/>
      <c r="J86" s="3"/>
      <c r="K86" s="105"/>
      <c r="L86" s="28"/>
      <c r="M86" s="28"/>
      <c r="N86" s="28"/>
      <c r="O86" s="28"/>
      <c r="P86" s="28"/>
      <c r="Q86" s="28"/>
    </row>
    <row r="87" spans="1:17" ht="15.6" x14ac:dyDescent="0.3">
      <c r="A87" s="50" t="s">
        <v>73</v>
      </c>
      <c r="B87" s="53">
        <f t="shared" ref="B87:G87" si="16">IF(B86&gt;0,$D$29,$D$30)</f>
        <v>0</v>
      </c>
      <c r="C87" s="53">
        <f t="shared" si="16"/>
        <v>0</v>
      </c>
      <c r="D87" s="53">
        <f t="shared" si="16"/>
        <v>0</v>
      </c>
      <c r="E87" s="53">
        <f t="shared" si="16"/>
        <v>0</v>
      </c>
      <c r="F87" s="53">
        <f t="shared" si="16"/>
        <v>0</v>
      </c>
      <c r="G87" s="53">
        <f t="shared" si="16"/>
        <v>0</v>
      </c>
      <c r="H87" s="3"/>
      <c r="I87" s="3"/>
      <c r="J87" s="3"/>
      <c r="K87" s="98"/>
      <c r="L87" s="28"/>
      <c r="M87" s="28"/>
      <c r="N87" s="28"/>
      <c r="O87" s="28"/>
      <c r="P87" s="28"/>
      <c r="Q87" s="28"/>
    </row>
    <row r="88" spans="1:17" ht="15.6" x14ac:dyDescent="0.3">
      <c r="A88" s="35"/>
      <c r="B88" s="35"/>
      <c r="C88" s="35"/>
      <c r="D88" s="35"/>
      <c r="E88" s="35"/>
      <c r="F88" s="35"/>
      <c r="G88" s="35"/>
      <c r="H88" s="3"/>
      <c r="I88" s="3"/>
      <c r="J88" s="3"/>
      <c r="K88" s="98"/>
      <c r="L88" s="28"/>
      <c r="M88" s="28"/>
      <c r="N88" s="28"/>
      <c r="O88" s="28"/>
      <c r="P88" s="28"/>
      <c r="Q88" s="28"/>
    </row>
    <row r="89" spans="1:17" ht="33" x14ac:dyDescent="0.6">
      <c r="A89" s="35"/>
      <c r="B89" s="35"/>
      <c r="C89" s="35"/>
      <c r="D89" s="35"/>
      <c r="E89" s="35"/>
      <c r="F89" s="35"/>
      <c r="G89" s="35"/>
      <c r="H89" s="3"/>
      <c r="I89" s="3"/>
      <c r="J89" s="3"/>
      <c r="K89" s="90" t="s">
        <v>125</v>
      </c>
      <c r="L89" s="25"/>
      <c r="M89" s="25"/>
      <c r="N89" s="25"/>
      <c r="O89" s="25"/>
      <c r="P89" s="25"/>
      <c r="Q89" s="25"/>
    </row>
    <row r="90" spans="1:17" ht="15.6" x14ac:dyDescent="0.3">
      <c r="A90" s="35"/>
      <c r="B90" s="35"/>
      <c r="C90" s="35"/>
      <c r="D90" s="35"/>
      <c r="E90" s="35"/>
      <c r="F90" s="35"/>
      <c r="G90" s="35"/>
      <c r="H90" s="3"/>
      <c r="I90" s="3"/>
      <c r="J90" s="3"/>
      <c r="K90" s="91" t="s">
        <v>119</v>
      </c>
      <c r="L90" s="91"/>
      <c r="M90" s="91"/>
      <c r="N90" s="91"/>
      <c r="O90" s="91"/>
      <c r="P90" s="91"/>
      <c r="Q90" s="91"/>
    </row>
    <row r="91" spans="1:17" ht="33" customHeight="1" x14ac:dyDescent="0.6">
      <c r="A91" s="134" t="s">
        <v>74</v>
      </c>
      <c r="B91" s="134"/>
      <c r="C91" s="134"/>
      <c r="D91" s="134"/>
      <c r="E91" s="134"/>
      <c r="F91" s="134"/>
      <c r="G91" s="134"/>
      <c r="H91" s="3"/>
      <c r="I91" s="3"/>
      <c r="J91" s="3"/>
      <c r="K91" s="91" t="s">
        <v>93</v>
      </c>
      <c r="L91" s="91"/>
      <c r="M91" s="91"/>
      <c r="N91" s="91"/>
      <c r="O91" s="91"/>
      <c r="P91" s="91"/>
      <c r="Q91" s="91"/>
    </row>
    <row r="92" spans="1:17" x14ac:dyDescent="0.3">
      <c r="A92" s="54"/>
      <c r="B92" s="54"/>
      <c r="C92" s="54"/>
      <c r="D92" s="54"/>
      <c r="E92" s="54"/>
      <c r="F92" s="54"/>
      <c r="G92" s="54"/>
      <c r="H92" s="3"/>
      <c r="I92" s="3"/>
      <c r="J92" s="3"/>
      <c r="K92" s="91" t="s">
        <v>94</v>
      </c>
      <c r="L92" s="91"/>
      <c r="M92" s="91"/>
      <c r="N92" s="91"/>
      <c r="O92" s="91"/>
      <c r="P92" s="91"/>
      <c r="Q92" s="91"/>
    </row>
    <row r="93" spans="1:17" ht="15.6" x14ac:dyDescent="0.3">
      <c r="A93" s="39" t="s">
        <v>57</v>
      </c>
      <c r="B93" s="40" t="s">
        <v>58</v>
      </c>
      <c r="C93" s="40" t="s">
        <v>59</v>
      </c>
      <c r="D93" s="40" t="s">
        <v>60</v>
      </c>
      <c r="E93" s="40" t="s">
        <v>61</v>
      </c>
      <c r="F93" s="40" t="s">
        <v>62</v>
      </c>
      <c r="G93" s="40" t="s">
        <v>63</v>
      </c>
      <c r="H93" s="3"/>
      <c r="I93" s="3"/>
      <c r="J93" s="3"/>
      <c r="K93" s="91" t="s">
        <v>115</v>
      </c>
      <c r="L93" s="91"/>
      <c r="M93" s="91"/>
      <c r="N93" s="91"/>
      <c r="O93" s="91"/>
      <c r="P93" s="91"/>
      <c r="Q93" s="91"/>
    </row>
    <row r="94" spans="1:17" ht="15.6" x14ac:dyDescent="0.3">
      <c r="A94" s="41" t="s">
        <v>35</v>
      </c>
      <c r="B94" s="3">
        <v>52588000000</v>
      </c>
      <c r="C94" s="27">
        <f>B94*(1+$B$98)</f>
        <v>57846800000.000008</v>
      </c>
      <c r="D94" s="27">
        <f t="shared" ref="D94:G94" si="17">C94*(1+$B$98)</f>
        <v>63631480000.000015</v>
      </c>
      <c r="E94" s="27">
        <f t="shared" si="17"/>
        <v>69994628000.000015</v>
      </c>
      <c r="F94" s="27">
        <f t="shared" si="17"/>
        <v>76994090800.000031</v>
      </c>
      <c r="G94" s="27">
        <f t="shared" si="17"/>
        <v>84693499880.000046</v>
      </c>
      <c r="H94" s="3"/>
      <c r="I94" s="3"/>
      <c r="J94" s="3"/>
      <c r="K94" s="13"/>
      <c r="L94" s="13" t="s">
        <v>7</v>
      </c>
      <c r="M94" s="13" t="s">
        <v>81</v>
      </c>
      <c r="N94" s="131" t="s">
        <v>120</v>
      </c>
      <c r="O94" s="131"/>
      <c r="P94" s="13"/>
      <c r="Q94" s="13"/>
    </row>
    <row r="95" spans="1:17" ht="15.6" x14ac:dyDescent="0.3">
      <c r="A95" s="41" t="s">
        <v>36</v>
      </c>
      <c r="B95" s="27">
        <f>B35</f>
        <v>2646200000</v>
      </c>
      <c r="C95" s="30"/>
      <c r="D95" s="30"/>
      <c r="E95" s="30"/>
      <c r="F95" s="30"/>
      <c r="G95" s="30"/>
      <c r="H95" s="3"/>
      <c r="I95" s="3"/>
      <c r="J95" s="3"/>
      <c r="K95" s="13" t="s">
        <v>116</v>
      </c>
      <c r="L95" s="13"/>
      <c r="M95" s="13"/>
      <c r="N95" s="131"/>
      <c r="O95" s="131"/>
      <c r="P95" s="119" t="s">
        <v>118</v>
      </c>
      <c r="Q95" s="106"/>
    </row>
    <row r="96" spans="1:17" ht="15.6" x14ac:dyDescent="0.3">
      <c r="A96" s="41" t="s">
        <v>37</v>
      </c>
      <c r="B96" s="27">
        <f>B36</f>
        <v>3000000000</v>
      </c>
      <c r="C96" s="27"/>
      <c r="D96" s="27"/>
      <c r="E96" s="27"/>
      <c r="F96" s="27"/>
      <c r="G96" s="27"/>
      <c r="H96" s="3"/>
      <c r="I96" s="3"/>
      <c r="J96" s="3"/>
      <c r="K96" s="14"/>
      <c r="L96" s="14"/>
      <c r="M96" s="14"/>
      <c r="N96" s="14"/>
      <c r="O96" s="14"/>
      <c r="P96" s="119" t="s">
        <v>126</v>
      </c>
      <c r="Q96" s="119"/>
    </row>
    <row r="97" spans="1:17" ht="15.6" x14ac:dyDescent="0.3">
      <c r="A97" s="42" t="s">
        <v>38</v>
      </c>
      <c r="B97" s="30">
        <f>SUM(B94:B96)</f>
        <v>58234200000</v>
      </c>
      <c r="C97" s="30">
        <f>B97*(1+$B$98)</f>
        <v>64057620000.000008</v>
      </c>
      <c r="D97" s="30">
        <f t="shared" ref="D97:G97" si="18">C97*(1+$B$98)</f>
        <v>70463382000.000015</v>
      </c>
      <c r="E97" s="30">
        <f t="shared" si="18"/>
        <v>77509720200.000031</v>
      </c>
      <c r="F97" s="30">
        <f t="shared" si="18"/>
        <v>85260692220.000046</v>
      </c>
      <c r="G97" s="30">
        <f t="shared" si="18"/>
        <v>93786761442.000061</v>
      </c>
      <c r="H97" s="3"/>
      <c r="I97" s="3"/>
      <c r="J97" s="3"/>
      <c r="K97" s="14"/>
      <c r="L97" s="14"/>
      <c r="M97" s="14"/>
      <c r="N97" s="107" t="s">
        <v>121</v>
      </c>
      <c r="O97" s="108" t="s">
        <v>122</v>
      </c>
      <c r="P97" s="107" t="s">
        <v>121</v>
      </c>
      <c r="Q97" s="108" t="s">
        <v>122</v>
      </c>
    </row>
    <row r="98" spans="1:17" ht="15.6" x14ac:dyDescent="0.3">
      <c r="A98" s="41" t="s">
        <v>52</v>
      </c>
      <c r="B98" s="31">
        <f>B53</f>
        <v>0.1</v>
      </c>
      <c r="C98" s="30"/>
      <c r="D98" s="30"/>
      <c r="E98" s="30"/>
      <c r="F98" s="30"/>
      <c r="G98" s="30"/>
      <c r="H98" s="3"/>
      <c r="I98" s="3"/>
      <c r="J98" s="3"/>
      <c r="K98" s="14" t="s">
        <v>96</v>
      </c>
      <c r="L98" s="114">
        <f>L9</f>
        <v>8248</v>
      </c>
      <c r="M98" s="58">
        <f>M9</f>
        <v>523</v>
      </c>
      <c r="N98" s="101">
        <f>M98</f>
        <v>523</v>
      </c>
      <c r="O98" s="109">
        <f>M98</f>
        <v>523</v>
      </c>
      <c r="P98" s="101">
        <f>P9</f>
        <v>575.47371744083955</v>
      </c>
      <c r="Q98" s="109">
        <f>P9</f>
        <v>575.47371744083955</v>
      </c>
    </row>
    <row r="99" spans="1:17" ht="15.6" x14ac:dyDescent="0.3">
      <c r="A99" s="41" t="s">
        <v>39</v>
      </c>
      <c r="B99" s="27">
        <f>B66</f>
        <v>0</v>
      </c>
      <c r="C99" s="27">
        <f t="shared" ref="C99:G100" si="19">B99</f>
        <v>0</v>
      </c>
      <c r="D99" s="27">
        <f t="shared" si="19"/>
        <v>0</v>
      </c>
      <c r="E99" s="27">
        <f t="shared" si="19"/>
        <v>0</v>
      </c>
      <c r="F99" s="27">
        <f t="shared" si="19"/>
        <v>0</v>
      </c>
      <c r="G99" s="27">
        <f t="shared" si="19"/>
        <v>0</v>
      </c>
      <c r="H99" s="3"/>
      <c r="I99" s="3"/>
      <c r="J99" s="3"/>
      <c r="K99" s="14" t="s">
        <v>97</v>
      </c>
      <c r="L99" s="14">
        <f>L98/L100</f>
        <v>43.787073619228721</v>
      </c>
      <c r="M99" s="58">
        <f>M98/M100</f>
        <v>44.803588589999997</v>
      </c>
      <c r="N99" s="101"/>
      <c r="O99" s="109"/>
      <c r="P99" s="101"/>
      <c r="Q99" s="109"/>
    </row>
    <row r="100" spans="1:17" ht="15.6" x14ac:dyDescent="0.3">
      <c r="A100" s="41" t="s">
        <v>40</v>
      </c>
      <c r="B100" s="27">
        <f>B67</f>
        <v>0</v>
      </c>
      <c r="C100" s="27">
        <f t="shared" si="19"/>
        <v>0</v>
      </c>
      <c r="D100" s="27">
        <f t="shared" si="19"/>
        <v>0</v>
      </c>
      <c r="E100" s="27">
        <f t="shared" si="19"/>
        <v>0</v>
      </c>
      <c r="F100" s="27">
        <f t="shared" si="19"/>
        <v>0</v>
      </c>
      <c r="G100" s="27">
        <f t="shared" si="19"/>
        <v>0</v>
      </c>
      <c r="H100" s="3"/>
      <c r="I100" s="3"/>
      <c r="J100" s="3"/>
      <c r="K100" s="14" t="s">
        <v>98</v>
      </c>
      <c r="L100" s="14">
        <f t="shared" ref="L100:Q100" si="20">L102/L101</f>
        <v>188.36609342118632</v>
      </c>
      <c r="M100" s="14">
        <f t="shared" si="20"/>
        <v>11.673172093110679</v>
      </c>
      <c r="N100" s="94">
        <f t="shared" si="20"/>
        <v>188.11296447082637</v>
      </c>
      <c r="O100" s="110">
        <f t="shared" si="20"/>
        <v>193.85389981127216</v>
      </c>
      <c r="P100" s="94">
        <f t="shared" si="20"/>
        <v>187.00168377717281</v>
      </c>
      <c r="Q100" s="110">
        <f t="shared" si="20"/>
        <v>193.26213268014212</v>
      </c>
    </row>
    <row r="101" spans="1:17" ht="15.6" x14ac:dyDescent="0.3">
      <c r="A101" s="41" t="s">
        <v>64</v>
      </c>
      <c r="B101" s="27">
        <f>B68</f>
        <v>0</v>
      </c>
      <c r="C101" s="43">
        <f>B101*(1-$D$103)</f>
        <v>0</v>
      </c>
      <c r="D101" s="43">
        <f>C101*(1-$D$103)</f>
        <v>0</v>
      </c>
      <c r="E101" s="43">
        <f>D101*(1-$D$103)</f>
        <v>0</v>
      </c>
      <c r="F101" s="43">
        <f>E101*(1-$D$103)</f>
        <v>0</v>
      </c>
      <c r="G101" s="43">
        <f>F101*(1-$D$103)</f>
        <v>0</v>
      </c>
      <c r="H101" s="3"/>
      <c r="I101" s="3"/>
      <c r="J101" s="3"/>
      <c r="K101" s="14" t="s">
        <v>99</v>
      </c>
      <c r="L101" s="14">
        <f>L13</f>
        <v>279179756</v>
      </c>
      <c r="M101" s="14">
        <f>M13</f>
        <v>277194946</v>
      </c>
      <c r="N101" s="101">
        <f>N106</f>
        <v>296756496.63506305</v>
      </c>
      <c r="O101" s="109">
        <f>O106</f>
        <v>287968126.31753153</v>
      </c>
      <c r="P101" s="101">
        <f>P106</f>
        <v>298520008.913486</v>
      </c>
      <c r="Q101" s="109">
        <f>Q106</f>
        <v>288849882.456743</v>
      </c>
    </row>
    <row r="102" spans="1:17" ht="15.6" x14ac:dyDescent="0.3">
      <c r="A102" s="41" t="s">
        <v>42</v>
      </c>
      <c r="B102" s="44">
        <f>B41</f>
        <v>0.05</v>
      </c>
      <c r="C102" s="43"/>
      <c r="D102" s="43"/>
      <c r="E102" s="43"/>
      <c r="F102" s="43"/>
      <c r="G102" s="43"/>
      <c r="H102" s="3"/>
      <c r="I102" s="3"/>
      <c r="J102" s="3"/>
      <c r="K102" s="14" t="s">
        <v>100</v>
      </c>
      <c r="L102" s="114">
        <f>L10</f>
        <v>52588000000</v>
      </c>
      <c r="M102" s="114">
        <f>M10</f>
        <v>3235744307.9985218</v>
      </c>
      <c r="N102" s="120">
        <f>L102+M102</f>
        <v>55823744307.99852</v>
      </c>
      <c r="O102" s="121">
        <f>N102</f>
        <v>55823744307.99852</v>
      </c>
      <c r="P102" s="120">
        <f>N102</f>
        <v>55823744307.99852</v>
      </c>
      <c r="Q102" s="121">
        <f>P102</f>
        <v>55823744307.99852</v>
      </c>
    </row>
    <row r="103" spans="1:17" ht="15.6" x14ac:dyDescent="0.3">
      <c r="A103" s="41" t="s">
        <v>55</v>
      </c>
      <c r="B103" s="44">
        <f>B56</f>
        <v>0.05</v>
      </c>
      <c r="C103" s="43"/>
      <c r="D103" s="43"/>
      <c r="E103" s="43"/>
      <c r="F103" s="43"/>
      <c r="G103" s="43"/>
      <c r="H103" s="3"/>
      <c r="I103" s="3"/>
      <c r="J103" s="3"/>
      <c r="K103" s="13" t="s">
        <v>101</v>
      </c>
      <c r="L103" s="14"/>
      <c r="M103" s="14"/>
      <c r="N103" s="120">
        <f>N98*M101</f>
        <v>144972956758</v>
      </c>
      <c r="O103" s="121">
        <f>O98*M101</f>
        <v>144972956758</v>
      </c>
      <c r="P103" s="120">
        <f>P98*M101</f>
        <v>159518406030.43277</v>
      </c>
      <c r="Q103" s="122">
        <f>Q98*M101</f>
        <v>159518406030.43277</v>
      </c>
    </row>
    <row r="104" spans="1:17" ht="15.6" x14ac:dyDescent="0.3">
      <c r="A104" s="41" t="s">
        <v>65</v>
      </c>
      <c r="B104" s="45">
        <f t="shared" ref="B104:G104" ca="1" si="21">$D$104*$H$24</f>
        <v>0</v>
      </c>
      <c r="C104" s="45">
        <f t="shared" ca="1" si="21"/>
        <v>0</v>
      </c>
      <c r="D104" s="45">
        <f t="shared" ca="1" si="21"/>
        <v>0</v>
      </c>
      <c r="E104" s="45">
        <f t="shared" ca="1" si="21"/>
        <v>0</v>
      </c>
      <c r="F104" s="45">
        <f t="shared" ca="1" si="21"/>
        <v>0</v>
      </c>
      <c r="G104" s="45">
        <f t="shared" ca="1" si="21"/>
        <v>0</v>
      </c>
      <c r="H104" s="3"/>
      <c r="I104" s="3"/>
      <c r="J104" s="3"/>
      <c r="K104" s="13" t="s">
        <v>102</v>
      </c>
      <c r="L104" s="14"/>
      <c r="M104" s="14"/>
      <c r="N104" s="94">
        <f>N98/L98</f>
        <v>6.3409311348205627E-2</v>
      </c>
      <c r="O104" s="110">
        <f>O98/L98</f>
        <v>6.3409311348205627E-2</v>
      </c>
      <c r="P104" s="94">
        <f>P98/L98</f>
        <v>6.97713042484044E-2</v>
      </c>
      <c r="Q104" s="110">
        <f>Q98/L98</f>
        <v>6.97713042484044E-2</v>
      </c>
    </row>
    <row r="105" spans="1:17" ht="15.6" x14ac:dyDescent="0.3">
      <c r="A105" s="41" t="s">
        <v>54</v>
      </c>
      <c r="B105" s="46">
        <f>B55</f>
        <v>0.105</v>
      </c>
      <c r="C105" s="27"/>
      <c r="D105" s="27"/>
      <c r="E105" s="27"/>
      <c r="F105" s="27"/>
      <c r="G105" s="27"/>
      <c r="H105" s="3"/>
      <c r="I105" s="3"/>
      <c r="J105" s="3"/>
      <c r="K105" s="13" t="s">
        <v>103</v>
      </c>
      <c r="L105" s="14"/>
      <c r="M105" s="14"/>
      <c r="N105" s="102">
        <f>N104*M101</f>
        <v>17576740.635063045</v>
      </c>
      <c r="O105" s="111">
        <f>O104*M101/2</f>
        <v>8788370.3175315224</v>
      </c>
      <c r="P105" s="102">
        <f>P104*M101</f>
        <v>19340252.91348603</v>
      </c>
      <c r="Q105" s="111">
        <f>Q104*M101*0.5</f>
        <v>9670126.456743015</v>
      </c>
    </row>
    <row r="106" spans="1:17" ht="15.6" x14ac:dyDescent="0.3">
      <c r="A106" s="42" t="s">
        <v>44</v>
      </c>
      <c r="B106" s="30">
        <f>B97-B99-B100-B101</f>
        <v>58234200000</v>
      </c>
      <c r="C106" s="30">
        <f>C97-C99-C100-C101-C103</f>
        <v>64057620000.000008</v>
      </c>
      <c r="D106" s="30">
        <f>D97-D99-D100-D101-D103</f>
        <v>70463382000.000015</v>
      </c>
      <c r="E106" s="30">
        <f>E97-E99-E100-E101-E103</f>
        <v>77509720200.000031</v>
      </c>
      <c r="F106" s="30">
        <f>F97-F99-F100-F101-F103</f>
        <v>85260692220.000046</v>
      </c>
      <c r="G106" s="30">
        <f>G97-G99-G100-G101-G103</f>
        <v>93786761442.000061</v>
      </c>
      <c r="H106" s="3"/>
      <c r="I106" s="3"/>
      <c r="J106" s="3"/>
      <c r="K106" s="13" t="s">
        <v>104</v>
      </c>
      <c r="L106" s="93"/>
      <c r="M106" s="14"/>
      <c r="N106" s="102">
        <f>L101+N105</f>
        <v>296756496.63506305</v>
      </c>
      <c r="O106" s="111">
        <f>L101+O105</f>
        <v>287968126.31753153</v>
      </c>
      <c r="P106" s="102">
        <f>L101+P105</f>
        <v>298520008.913486</v>
      </c>
      <c r="Q106" s="111">
        <f>L101+Q105</f>
        <v>288849882.456743</v>
      </c>
    </row>
    <row r="107" spans="1:17" ht="15.6" x14ac:dyDescent="0.3">
      <c r="A107" s="41" t="s">
        <v>127</v>
      </c>
      <c r="B107" s="30">
        <f>B106*26%</f>
        <v>15140892000</v>
      </c>
      <c r="C107" s="30">
        <f t="shared" ref="C107:G107" si="22">C106*26%</f>
        <v>16654981200.000002</v>
      </c>
      <c r="D107" s="30">
        <f t="shared" si="22"/>
        <v>18320479320.000004</v>
      </c>
      <c r="E107" s="30">
        <f t="shared" si="22"/>
        <v>20152527252.000008</v>
      </c>
      <c r="F107" s="30">
        <f t="shared" si="22"/>
        <v>22167779977.200012</v>
      </c>
      <c r="G107" s="30">
        <f t="shared" si="22"/>
        <v>24384557974.920017</v>
      </c>
      <c r="H107" s="3"/>
      <c r="I107" s="3"/>
      <c r="J107" s="3"/>
      <c r="K107" s="13" t="s">
        <v>105</v>
      </c>
      <c r="L107" s="93"/>
      <c r="M107" s="14"/>
      <c r="N107" s="120">
        <f>N102</f>
        <v>55823744307.99852</v>
      </c>
      <c r="O107" s="121">
        <f>O102</f>
        <v>55823744307.99852</v>
      </c>
      <c r="P107" s="120">
        <f>P102</f>
        <v>55823744307.99852</v>
      </c>
      <c r="Q107" s="121">
        <f>Q102</f>
        <v>55823744307.99852</v>
      </c>
    </row>
    <row r="108" spans="1:17" ht="15.6" x14ac:dyDescent="0.3">
      <c r="A108" s="42" t="s">
        <v>46</v>
      </c>
      <c r="B108" s="30">
        <f t="shared" ref="B108:G108" si="23">B106-B107</f>
        <v>43093308000</v>
      </c>
      <c r="C108" s="30">
        <f t="shared" si="23"/>
        <v>47402638800.000008</v>
      </c>
      <c r="D108" s="30">
        <f t="shared" si="23"/>
        <v>52142902680.000015</v>
      </c>
      <c r="E108" s="30">
        <f t="shared" si="23"/>
        <v>57357192948.000023</v>
      </c>
      <c r="F108" s="30">
        <f t="shared" si="23"/>
        <v>63092912242.800034</v>
      </c>
      <c r="G108" s="30">
        <f t="shared" si="23"/>
        <v>69402203467.080048</v>
      </c>
      <c r="H108" s="3"/>
      <c r="I108" s="3"/>
      <c r="J108" s="3"/>
      <c r="K108" s="13" t="s">
        <v>111</v>
      </c>
      <c r="L108" s="93"/>
      <c r="M108" s="14"/>
      <c r="N108" s="120">
        <f>P14</f>
        <v>0</v>
      </c>
      <c r="O108" s="121">
        <f>N108</f>
        <v>0</v>
      </c>
      <c r="P108" s="120">
        <f>P14</f>
        <v>0</v>
      </c>
      <c r="Q108" s="121">
        <f>P108</f>
        <v>0</v>
      </c>
    </row>
    <row r="109" spans="1:17" ht="15.6" x14ac:dyDescent="0.3">
      <c r="A109" s="42" t="s">
        <v>66</v>
      </c>
      <c r="B109" s="30">
        <f>B94*(1-26%)</f>
        <v>38915120000</v>
      </c>
      <c r="C109" s="30">
        <f>B109*(1.075)</f>
        <v>41833754000</v>
      </c>
      <c r="D109" s="30">
        <f>C109*(1.075)</f>
        <v>44971285550</v>
      </c>
      <c r="E109" s="30">
        <f>D109*(1.075)</f>
        <v>48344131966.25</v>
      </c>
      <c r="F109" s="30">
        <f>E109*(1.075)</f>
        <v>51969941863.71875</v>
      </c>
      <c r="G109" s="30">
        <f>F109*(1.075)</f>
        <v>55867687503.49765</v>
      </c>
      <c r="H109" s="3"/>
      <c r="I109" s="3"/>
      <c r="J109" s="3"/>
      <c r="K109" s="13" t="s">
        <v>112</v>
      </c>
      <c r="L109" s="93"/>
      <c r="M109" s="14"/>
      <c r="N109" s="120">
        <f>N107+N108</f>
        <v>55823744307.99852</v>
      </c>
      <c r="O109" s="121">
        <f>O107+O108</f>
        <v>55823744307.99852</v>
      </c>
      <c r="P109" s="102">
        <f>P107+P108</f>
        <v>55823744307.99852</v>
      </c>
      <c r="Q109" s="111">
        <f>Q107+Q108</f>
        <v>55823744307.99852</v>
      </c>
    </row>
    <row r="110" spans="1:17" ht="15.6" x14ac:dyDescent="0.3">
      <c r="A110" s="42"/>
      <c r="B110" s="27"/>
      <c r="C110" s="27"/>
      <c r="D110" s="27"/>
      <c r="E110" s="27"/>
      <c r="F110" s="27"/>
      <c r="G110" s="27"/>
      <c r="H110" s="3"/>
      <c r="I110" s="3"/>
      <c r="J110" s="3"/>
      <c r="K110" s="13" t="s">
        <v>106</v>
      </c>
      <c r="L110" s="93"/>
      <c r="M110" s="14"/>
      <c r="N110" s="94">
        <f>N109/N106</f>
        <v>188.11296447082637</v>
      </c>
      <c r="O110" s="110">
        <f>O109/O106</f>
        <v>193.85389981127216</v>
      </c>
      <c r="P110" s="94">
        <f>P109/P106</f>
        <v>187.00168377717281</v>
      </c>
      <c r="Q110" s="110">
        <f>Q109/Q106</f>
        <v>193.26213268014212</v>
      </c>
    </row>
    <row r="111" spans="1:17" ht="15.6" x14ac:dyDescent="0.3">
      <c r="A111" s="41" t="s">
        <v>49</v>
      </c>
      <c r="B111" s="27">
        <f>B15</f>
        <v>279179756</v>
      </c>
      <c r="C111" s="27">
        <f t="shared" ref="C111:G112" si="24">B111</f>
        <v>279179756</v>
      </c>
      <c r="D111" s="27">
        <f t="shared" si="24"/>
        <v>279179756</v>
      </c>
      <c r="E111" s="27">
        <f t="shared" si="24"/>
        <v>279179756</v>
      </c>
      <c r="F111" s="27">
        <f t="shared" si="24"/>
        <v>279179756</v>
      </c>
      <c r="G111" s="27">
        <f t="shared" si="24"/>
        <v>279179756</v>
      </c>
      <c r="H111" s="3"/>
      <c r="I111" s="3"/>
      <c r="J111" s="3"/>
      <c r="K111" s="13" t="s">
        <v>107</v>
      </c>
      <c r="L111" s="93"/>
      <c r="M111" s="14"/>
      <c r="N111" s="94">
        <f>L100</f>
        <v>188.36609342118632</v>
      </c>
      <c r="O111" s="110">
        <f>N111</f>
        <v>188.36609342118632</v>
      </c>
      <c r="P111" s="94">
        <f>O111</f>
        <v>188.36609342118632</v>
      </c>
      <c r="Q111" s="110">
        <f>P111</f>
        <v>188.36609342118632</v>
      </c>
    </row>
    <row r="112" spans="1:17" ht="15.6" x14ac:dyDescent="0.3">
      <c r="A112" s="41" t="s">
        <v>50</v>
      </c>
      <c r="B112" s="34">
        <f>E27</f>
        <v>19341136.202378865</v>
      </c>
      <c r="C112" s="34">
        <f t="shared" si="24"/>
        <v>19341136.202378865</v>
      </c>
      <c r="D112" s="34">
        <f t="shared" si="24"/>
        <v>19341136.202378865</v>
      </c>
      <c r="E112" s="34">
        <f t="shared" si="24"/>
        <v>19341136.202378865</v>
      </c>
      <c r="F112" s="34">
        <f t="shared" si="24"/>
        <v>19341136.202378865</v>
      </c>
      <c r="G112" s="34">
        <f t="shared" si="24"/>
        <v>19341136.202378865</v>
      </c>
      <c r="H112" s="3"/>
      <c r="I112" s="3"/>
      <c r="J112" s="3"/>
      <c r="K112" s="13" t="s">
        <v>108</v>
      </c>
      <c r="L112" s="103"/>
      <c r="M112" s="14"/>
      <c r="N112" s="112">
        <f>N110/N111-1</f>
        <v>-1.3438137711649922E-3</v>
      </c>
      <c r="O112" s="113">
        <f>O110/O111-1</f>
        <v>2.9133727256396957E-2</v>
      </c>
      <c r="P112" s="112">
        <f>P110/P111-1</f>
        <v>-7.243393007905552E-3</v>
      </c>
      <c r="Q112" s="113">
        <f>Q110/Q111-1</f>
        <v>2.5992147365971219E-2</v>
      </c>
    </row>
    <row r="113" spans="1:17" ht="15.6" x14ac:dyDescent="0.3">
      <c r="A113" s="41" t="s">
        <v>68</v>
      </c>
      <c r="B113" s="34">
        <f t="shared" ref="B113:G113" si="25">B111+B112</f>
        <v>298520892.20237887</v>
      </c>
      <c r="C113" s="34">
        <f t="shared" si="25"/>
        <v>298520892.20237887</v>
      </c>
      <c r="D113" s="34">
        <f t="shared" si="25"/>
        <v>298520892.20237887</v>
      </c>
      <c r="E113" s="34">
        <f t="shared" si="25"/>
        <v>298520892.20237887</v>
      </c>
      <c r="F113" s="34">
        <f t="shared" si="25"/>
        <v>298520892.20237887</v>
      </c>
      <c r="G113" s="34">
        <f t="shared" si="25"/>
        <v>298520892.20237887</v>
      </c>
      <c r="H113" s="3"/>
      <c r="I113" s="3"/>
      <c r="J113" s="3"/>
      <c r="K113" s="91"/>
      <c r="L113" s="91"/>
      <c r="M113" s="91"/>
      <c r="N113" s="91"/>
      <c r="O113" s="91"/>
      <c r="P113" s="91"/>
      <c r="Q113" s="91"/>
    </row>
    <row r="114" spans="1:17" ht="15.6" x14ac:dyDescent="0.3">
      <c r="A114" s="41"/>
      <c r="B114" s="27"/>
      <c r="C114" s="27"/>
      <c r="D114" s="27"/>
      <c r="E114" s="27"/>
      <c r="F114" s="27"/>
      <c r="G114" s="27"/>
      <c r="H114" s="3"/>
      <c r="I114" s="3"/>
      <c r="J114" s="3"/>
      <c r="K114" s="91"/>
      <c r="L114" s="91"/>
      <c r="M114" s="91"/>
      <c r="N114" s="91"/>
      <c r="O114" s="91"/>
      <c r="P114" s="91"/>
      <c r="Q114" s="91"/>
    </row>
    <row r="115" spans="1:17" ht="15.6" x14ac:dyDescent="0.3">
      <c r="A115" s="47" t="s">
        <v>69</v>
      </c>
      <c r="B115" s="55">
        <f t="shared" ref="B115:G115" si="26">B108/B113</f>
        <v>144.35608738160067</v>
      </c>
      <c r="C115" s="55">
        <f t="shared" si="26"/>
        <v>158.79169611976076</v>
      </c>
      <c r="D115" s="55">
        <f t="shared" si="26"/>
        <v>174.67086573173688</v>
      </c>
      <c r="E115" s="55">
        <f t="shared" si="26"/>
        <v>192.13795230491058</v>
      </c>
      <c r="F115" s="55">
        <f t="shared" si="26"/>
        <v>211.35174753540167</v>
      </c>
      <c r="G115" s="55">
        <f t="shared" si="26"/>
        <v>232.48692228894186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5.6" x14ac:dyDescent="0.3">
      <c r="A116" s="47" t="s">
        <v>70</v>
      </c>
      <c r="B116" s="34">
        <f t="shared" ref="B116:G116" si="27">B109/B111</f>
        <v>139.39090913167786</v>
      </c>
      <c r="C116" s="34">
        <f t="shared" si="27"/>
        <v>149.84522731655372</v>
      </c>
      <c r="D116" s="34">
        <f t="shared" si="27"/>
        <v>161.08361936529525</v>
      </c>
      <c r="E116" s="34">
        <f t="shared" si="27"/>
        <v>173.1648908176924</v>
      </c>
      <c r="F116" s="34">
        <f t="shared" si="27"/>
        <v>186.15225762901932</v>
      </c>
      <c r="G116" s="34">
        <f t="shared" si="27"/>
        <v>200.11367695119574</v>
      </c>
      <c r="H116" s="3"/>
      <c r="I116" s="3"/>
      <c r="J116" s="3"/>
    </row>
    <row r="117" spans="1:17" ht="15.6" x14ac:dyDescent="0.3">
      <c r="A117" s="35"/>
      <c r="B117" s="35"/>
      <c r="C117" s="35"/>
      <c r="D117" s="35"/>
      <c r="E117" s="35"/>
      <c r="F117" s="35"/>
      <c r="G117" s="35"/>
      <c r="H117" s="3"/>
      <c r="I117" s="3"/>
      <c r="J117" s="3"/>
    </row>
    <row r="118" spans="1:17" ht="15.6" x14ac:dyDescent="0.3">
      <c r="A118" s="50" t="s">
        <v>71</v>
      </c>
      <c r="B118" s="51">
        <f t="shared" ref="B118:G118" si="28">B115-B116</f>
        <v>4.9651782499228148</v>
      </c>
      <c r="C118" s="51">
        <f t="shared" si="28"/>
        <v>8.9464688032070399</v>
      </c>
      <c r="D118" s="51">
        <f t="shared" si="28"/>
        <v>13.587246366441633</v>
      </c>
      <c r="E118" s="51">
        <f t="shared" si="28"/>
        <v>18.973061487218189</v>
      </c>
      <c r="F118" s="51">
        <f t="shared" si="28"/>
        <v>25.199489906382354</v>
      </c>
      <c r="G118" s="51">
        <f t="shared" si="28"/>
        <v>32.373245337746113</v>
      </c>
      <c r="H118" s="3"/>
      <c r="I118" s="3"/>
      <c r="J118" s="3"/>
    </row>
    <row r="119" spans="1:17" ht="15.6" x14ac:dyDescent="0.3">
      <c r="A119" s="50" t="s">
        <v>72</v>
      </c>
      <c r="B119" s="56">
        <f t="shared" ref="B119:G119" si="29">B115/B116-1</f>
        <v>3.5620531359275232E-2</v>
      </c>
      <c r="C119" s="56">
        <f t="shared" si="29"/>
        <v>5.9704729762979358E-2</v>
      </c>
      <c r="D119" s="56">
        <f t="shared" si="29"/>
        <v>8.4349025803979183E-2</v>
      </c>
      <c r="E119" s="56">
        <f t="shared" si="29"/>
        <v>0.10956644500872281</v>
      </c>
      <c r="F119" s="56">
        <f t="shared" si="29"/>
        <v>0.13537031582287939</v>
      </c>
      <c r="G119" s="56">
        <f t="shared" si="29"/>
        <v>0.16177427665596977</v>
      </c>
      <c r="H119" s="3"/>
      <c r="I119" s="3"/>
      <c r="J119" s="3"/>
    </row>
    <row r="120" spans="1:17" ht="15.6" x14ac:dyDescent="0.3">
      <c r="A120" s="50" t="s">
        <v>73</v>
      </c>
      <c r="B120" s="53">
        <f t="shared" ref="B120:G120" si="30">IF(B119&gt;0,$D$29,$D$30)</f>
        <v>0</v>
      </c>
      <c r="C120" s="53">
        <f t="shared" si="30"/>
        <v>0</v>
      </c>
      <c r="D120" s="53">
        <f t="shared" si="30"/>
        <v>0</v>
      </c>
      <c r="E120" s="53">
        <f t="shared" si="30"/>
        <v>0</v>
      </c>
      <c r="F120" s="53">
        <f t="shared" si="30"/>
        <v>0</v>
      </c>
      <c r="G120" s="53">
        <f t="shared" si="30"/>
        <v>0</v>
      </c>
      <c r="H120" s="3"/>
      <c r="I120" s="3"/>
      <c r="J120" s="3"/>
    </row>
    <row r="121" spans="1:17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7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7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7" ht="33" x14ac:dyDescent="0.6">
      <c r="A124" s="134" t="s">
        <v>75</v>
      </c>
      <c r="B124" s="133"/>
      <c r="C124" s="133"/>
      <c r="D124" s="133"/>
      <c r="E124" s="133"/>
      <c r="F124" s="133"/>
      <c r="G124" s="133"/>
      <c r="H124" s="3"/>
      <c r="I124" s="3"/>
      <c r="J124" s="3"/>
    </row>
    <row r="125" spans="1:17" ht="15.6" x14ac:dyDescent="0.3">
      <c r="A125" s="39" t="s">
        <v>57</v>
      </c>
      <c r="B125" s="40" t="s">
        <v>58</v>
      </c>
      <c r="C125" s="40" t="s">
        <v>59</v>
      </c>
      <c r="D125" s="40" t="s">
        <v>60</v>
      </c>
      <c r="E125" s="40" t="s">
        <v>61</v>
      </c>
      <c r="F125" s="40" t="s">
        <v>62</v>
      </c>
      <c r="G125" s="40" t="s">
        <v>63</v>
      </c>
      <c r="H125" s="3"/>
      <c r="I125" s="3"/>
      <c r="J125" s="3"/>
    </row>
    <row r="126" spans="1:17" ht="15.6" x14ac:dyDescent="0.3">
      <c r="A126" s="41" t="s">
        <v>35</v>
      </c>
      <c r="B126" s="3">
        <v>52588000000</v>
      </c>
      <c r="C126" s="27">
        <f>B126*(1+$B$130)</f>
        <v>57846800000.000008</v>
      </c>
      <c r="D126" s="27">
        <f t="shared" ref="D126:G126" si="31">C126*(1+$B$130)</f>
        <v>63631480000.000015</v>
      </c>
      <c r="E126" s="27">
        <f t="shared" si="31"/>
        <v>69994628000.000015</v>
      </c>
      <c r="F126" s="27">
        <f t="shared" si="31"/>
        <v>76994090800.000031</v>
      </c>
      <c r="G126" s="27">
        <f t="shared" si="31"/>
        <v>84693499880.000046</v>
      </c>
      <c r="H126" s="3"/>
      <c r="I126" s="3"/>
      <c r="J126" s="3"/>
    </row>
    <row r="127" spans="1:17" ht="15.6" x14ac:dyDescent="0.3">
      <c r="A127" s="41" t="s">
        <v>36</v>
      </c>
      <c r="B127" s="27">
        <f>B35</f>
        <v>2646200000</v>
      </c>
      <c r="C127" s="30"/>
      <c r="D127" s="30"/>
      <c r="E127" s="30"/>
      <c r="F127" s="30"/>
      <c r="G127" s="30"/>
      <c r="H127" s="3"/>
      <c r="I127" s="3"/>
      <c r="J127" s="3"/>
    </row>
    <row r="128" spans="1:17" ht="15.6" x14ac:dyDescent="0.3">
      <c r="A128" s="41" t="s">
        <v>37</v>
      </c>
      <c r="B128" s="27">
        <f>B36</f>
        <v>3000000000</v>
      </c>
      <c r="C128" s="27"/>
      <c r="D128" s="27"/>
      <c r="E128" s="27"/>
      <c r="F128" s="27"/>
      <c r="G128" s="27"/>
      <c r="H128" s="3" t="s">
        <v>76</v>
      </c>
      <c r="I128" s="3"/>
      <c r="J128" s="3"/>
    </row>
    <row r="129" spans="1:10" ht="15.6" x14ac:dyDescent="0.3">
      <c r="A129" s="42" t="s">
        <v>38</v>
      </c>
      <c r="B129" s="30">
        <f>SUM(B126:B128)</f>
        <v>58234200000</v>
      </c>
      <c r="C129" s="30">
        <f>B129*(1+$B$130)</f>
        <v>64057620000.000008</v>
      </c>
      <c r="D129" s="30">
        <f t="shared" ref="D129:G129" si="32">C129*(1+$B$130)</f>
        <v>70463382000.000015</v>
      </c>
      <c r="E129" s="30">
        <f t="shared" si="32"/>
        <v>77509720200.000031</v>
      </c>
      <c r="F129" s="30">
        <f t="shared" si="32"/>
        <v>85260692220.000046</v>
      </c>
      <c r="G129" s="30">
        <f t="shared" si="32"/>
        <v>93786761442.000061</v>
      </c>
      <c r="H129" s="3"/>
      <c r="I129" s="3"/>
      <c r="J129" s="3"/>
    </row>
    <row r="130" spans="1:10" ht="15.6" x14ac:dyDescent="0.3">
      <c r="A130" s="41" t="s">
        <v>52</v>
      </c>
      <c r="B130" s="31">
        <f>B53</f>
        <v>0.1</v>
      </c>
      <c r="C130" s="30"/>
      <c r="D130" s="30"/>
      <c r="E130" s="30"/>
      <c r="F130" s="30"/>
      <c r="G130" s="30"/>
      <c r="H130" s="3"/>
      <c r="I130" s="3"/>
      <c r="J130" s="3"/>
    </row>
    <row r="131" spans="1:10" ht="15.6" x14ac:dyDescent="0.3">
      <c r="A131" s="41" t="s">
        <v>39</v>
      </c>
      <c r="B131" s="27">
        <f>B38</f>
        <v>0</v>
      </c>
      <c r="C131" s="27">
        <f t="shared" ref="C131:G132" si="33">B131</f>
        <v>0</v>
      </c>
      <c r="D131" s="27">
        <f t="shared" si="33"/>
        <v>0</v>
      </c>
      <c r="E131" s="27">
        <f t="shared" si="33"/>
        <v>0</v>
      </c>
      <c r="F131" s="27">
        <f t="shared" si="33"/>
        <v>0</v>
      </c>
      <c r="G131" s="27">
        <f t="shared" si="33"/>
        <v>0</v>
      </c>
      <c r="H131" s="3"/>
      <c r="I131" s="3"/>
      <c r="J131" s="3"/>
    </row>
    <row r="132" spans="1:10" ht="15.6" x14ac:dyDescent="0.3">
      <c r="A132" s="41" t="s">
        <v>40</v>
      </c>
      <c r="B132" s="27">
        <f>B39</f>
        <v>0</v>
      </c>
      <c r="C132" s="27">
        <f t="shared" si="33"/>
        <v>0</v>
      </c>
      <c r="D132" s="27">
        <f t="shared" si="33"/>
        <v>0</v>
      </c>
      <c r="E132" s="27">
        <f t="shared" si="33"/>
        <v>0</v>
      </c>
      <c r="F132" s="27">
        <f t="shared" si="33"/>
        <v>0</v>
      </c>
      <c r="G132" s="27">
        <f t="shared" si="33"/>
        <v>0</v>
      </c>
      <c r="H132" s="3"/>
      <c r="I132" s="3"/>
      <c r="J132" s="3"/>
    </row>
    <row r="133" spans="1:10" ht="15.6" x14ac:dyDescent="0.3">
      <c r="A133" s="41" t="s">
        <v>64</v>
      </c>
      <c r="B133" s="27">
        <f>B40</f>
        <v>0</v>
      </c>
      <c r="C133" s="27">
        <f>B133*(1-$D$135)</f>
        <v>0</v>
      </c>
      <c r="D133" s="30">
        <f>C133*(1-$D$135)</f>
        <v>0</v>
      </c>
      <c r="E133" s="30">
        <f>D133*(1-$D$135)</f>
        <v>0</v>
      </c>
      <c r="F133" s="30">
        <f>E133*(1-$D$135)</f>
        <v>0</v>
      </c>
      <c r="G133" s="30">
        <f>F133*(1-$D$135)</f>
        <v>0</v>
      </c>
      <c r="H133" s="3"/>
      <c r="I133" s="3"/>
      <c r="J133" s="3"/>
    </row>
    <row r="134" spans="1:10" ht="15.6" x14ac:dyDescent="0.3">
      <c r="A134" s="41"/>
      <c r="B134" s="44"/>
      <c r="C134" s="43"/>
      <c r="D134" s="43"/>
      <c r="E134" s="43"/>
      <c r="F134" s="43"/>
      <c r="G134" s="43"/>
      <c r="H134" s="3"/>
      <c r="I134" s="3"/>
      <c r="J134" s="3"/>
    </row>
    <row r="135" spans="1:10" ht="15.6" x14ac:dyDescent="0.3">
      <c r="A135" s="41" t="s">
        <v>55</v>
      </c>
      <c r="B135" s="44">
        <f>B56</f>
        <v>0.05</v>
      </c>
      <c r="C135" s="43"/>
      <c r="D135" s="43"/>
      <c r="E135" s="43"/>
      <c r="F135" s="43"/>
      <c r="G135" s="43"/>
      <c r="H135" s="3"/>
      <c r="I135" s="3"/>
      <c r="J135" s="3"/>
    </row>
    <row r="136" spans="1:10" ht="15.6" x14ac:dyDescent="0.3">
      <c r="A136" s="41" t="s">
        <v>42</v>
      </c>
      <c r="B136" s="44">
        <f>B41</f>
        <v>0.05</v>
      </c>
      <c r="C136" s="43"/>
      <c r="D136" s="43"/>
      <c r="E136" s="43"/>
      <c r="F136" s="43"/>
      <c r="G136" s="43"/>
      <c r="H136" s="3"/>
      <c r="I136" s="3"/>
      <c r="J136" s="3"/>
    </row>
    <row r="137" spans="1:10" ht="15.6" x14ac:dyDescent="0.3">
      <c r="A137" s="41" t="s">
        <v>77</v>
      </c>
      <c r="B137" s="57">
        <v>0</v>
      </c>
      <c r="C137" s="43">
        <f>B137*(1-$D$139)</f>
        <v>0</v>
      </c>
      <c r="D137" s="43">
        <f>C137*(1-$D$139)</f>
        <v>0</v>
      </c>
      <c r="E137" s="43">
        <f>D137*(1-$D$139)</f>
        <v>0</v>
      </c>
      <c r="F137" s="43">
        <f>E137*(1-$D$139)</f>
        <v>0</v>
      </c>
      <c r="G137" s="43">
        <f>F137*(1-$D$139)</f>
        <v>0</v>
      </c>
      <c r="H137" s="3"/>
      <c r="I137" s="3"/>
      <c r="J137" s="3"/>
    </row>
    <row r="138" spans="1:10" ht="15.6" x14ac:dyDescent="0.3">
      <c r="A138" s="41" t="s">
        <v>54</v>
      </c>
      <c r="B138" s="46">
        <f>B55</f>
        <v>0.105</v>
      </c>
      <c r="C138" s="27"/>
      <c r="D138" s="27"/>
      <c r="E138" s="27"/>
      <c r="F138" s="27"/>
      <c r="G138" s="27"/>
      <c r="H138" s="3"/>
      <c r="I138" s="3"/>
      <c r="J138" s="3"/>
    </row>
    <row r="139" spans="1:10" ht="15.6" x14ac:dyDescent="0.3">
      <c r="A139" s="42" t="s">
        <v>44</v>
      </c>
      <c r="B139" s="30">
        <f>B129-B131-B132-B133</f>
        <v>58234200000</v>
      </c>
      <c r="C139" s="30">
        <f>C129-C131-C132-C133-C135</f>
        <v>64057620000.000008</v>
      </c>
      <c r="D139" s="30">
        <f>D129-D131-D132-D133-D135</f>
        <v>70463382000.000015</v>
      </c>
      <c r="E139" s="30">
        <f>E129-E131-E132-E133-E135</f>
        <v>77509720200.000031</v>
      </c>
      <c r="F139" s="30">
        <f>F129-F131-F132-F133-F135</f>
        <v>85260692220.000046</v>
      </c>
      <c r="G139" s="30">
        <f>G129-G131-G132-G133-G135</f>
        <v>93786761442.000061</v>
      </c>
      <c r="H139" s="3"/>
      <c r="I139" s="3"/>
      <c r="J139" s="3"/>
    </row>
    <row r="140" spans="1:10" ht="15.6" x14ac:dyDescent="0.3">
      <c r="A140" s="41" t="s">
        <v>127</v>
      </c>
      <c r="B140" s="30">
        <f>B139*26%</f>
        <v>15140892000</v>
      </c>
      <c r="C140" s="30">
        <f t="shared" ref="C140:G140" si="34">C139*26%</f>
        <v>16654981200.000002</v>
      </c>
      <c r="D140" s="30">
        <f t="shared" si="34"/>
        <v>18320479320.000004</v>
      </c>
      <c r="E140" s="30">
        <f t="shared" si="34"/>
        <v>20152527252.000008</v>
      </c>
      <c r="F140" s="30">
        <f t="shared" si="34"/>
        <v>22167779977.200012</v>
      </c>
      <c r="G140" s="30">
        <f t="shared" si="34"/>
        <v>24384557974.920017</v>
      </c>
      <c r="H140" s="3"/>
      <c r="I140" s="3"/>
      <c r="J140" s="3"/>
    </row>
    <row r="141" spans="1:10" ht="15.6" x14ac:dyDescent="0.3">
      <c r="A141" s="42" t="s">
        <v>46</v>
      </c>
      <c r="B141" s="30">
        <f t="shared" ref="B141:G141" si="35">B139-B140</f>
        <v>43093308000</v>
      </c>
      <c r="C141" s="30">
        <f t="shared" si="35"/>
        <v>47402638800.000008</v>
      </c>
      <c r="D141" s="30">
        <f t="shared" si="35"/>
        <v>52142902680.000015</v>
      </c>
      <c r="E141" s="30">
        <f t="shared" si="35"/>
        <v>57357192948.000023</v>
      </c>
      <c r="F141" s="30">
        <f t="shared" si="35"/>
        <v>63092912242.800034</v>
      </c>
      <c r="G141" s="30">
        <f t="shared" si="35"/>
        <v>69402203467.080048</v>
      </c>
      <c r="H141" s="3"/>
      <c r="I141" s="3"/>
      <c r="J141" s="3"/>
    </row>
    <row r="142" spans="1:10" ht="15.6" x14ac:dyDescent="0.3">
      <c r="A142" s="42" t="s">
        <v>78</v>
      </c>
      <c r="B142" s="30">
        <f>B126*(1-26%)</f>
        <v>38915120000</v>
      </c>
      <c r="C142" s="30">
        <f>B142*1.075</f>
        <v>41833754000</v>
      </c>
      <c r="D142" s="30">
        <f t="shared" ref="D142:G142" si="36">C142*1.075</f>
        <v>44971285550</v>
      </c>
      <c r="E142" s="30">
        <f t="shared" si="36"/>
        <v>48344131966.25</v>
      </c>
      <c r="F142" s="30">
        <f t="shared" si="36"/>
        <v>51969941863.71875</v>
      </c>
      <c r="G142" s="30">
        <f t="shared" si="36"/>
        <v>55867687503.49765</v>
      </c>
      <c r="H142" s="3"/>
      <c r="I142" s="3"/>
      <c r="J142" s="3"/>
    </row>
    <row r="143" spans="1:10" ht="15.6" x14ac:dyDescent="0.3">
      <c r="A143" s="42"/>
      <c r="B143" s="27"/>
      <c r="C143" s="27"/>
      <c r="D143" s="27"/>
      <c r="E143" s="27"/>
      <c r="F143" s="27"/>
      <c r="G143" s="27"/>
      <c r="H143" s="3"/>
      <c r="I143" s="3"/>
      <c r="J143" s="3"/>
    </row>
    <row r="144" spans="1:10" ht="15.6" x14ac:dyDescent="0.3">
      <c r="A144" s="41" t="s">
        <v>49</v>
      </c>
      <c r="B144" s="27">
        <f>B50</f>
        <v>279179756</v>
      </c>
      <c r="C144" s="27">
        <f t="shared" ref="C144:G145" si="37">B144</f>
        <v>279179756</v>
      </c>
      <c r="D144" s="27">
        <f t="shared" si="37"/>
        <v>279179756</v>
      </c>
      <c r="E144" s="27">
        <f t="shared" si="37"/>
        <v>279179756</v>
      </c>
      <c r="F144" s="27">
        <f t="shared" si="37"/>
        <v>279179756</v>
      </c>
      <c r="G144" s="27">
        <f t="shared" si="37"/>
        <v>279179756</v>
      </c>
      <c r="H144" s="3"/>
      <c r="I144" s="3"/>
      <c r="J144" s="3"/>
    </row>
    <row r="145" spans="1:10" ht="15.6" x14ac:dyDescent="0.3">
      <c r="A145" s="41" t="s">
        <v>50</v>
      </c>
      <c r="B145" s="34">
        <f>G27</f>
        <v>0</v>
      </c>
      <c r="C145" s="34">
        <f>B145</f>
        <v>0</v>
      </c>
      <c r="D145" s="34">
        <f t="shared" si="37"/>
        <v>0</v>
      </c>
      <c r="E145" s="34">
        <f t="shared" si="37"/>
        <v>0</v>
      </c>
      <c r="F145" s="34">
        <f t="shared" si="37"/>
        <v>0</v>
      </c>
      <c r="G145" s="34">
        <f t="shared" si="37"/>
        <v>0</v>
      </c>
      <c r="H145" s="3"/>
      <c r="I145" s="3"/>
      <c r="J145" s="3"/>
    </row>
    <row r="146" spans="1:10" ht="15.6" x14ac:dyDescent="0.3">
      <c r="A146" s="41" t="s">
        <v>68</v>
      </c>
      <c r="B146" s="34">
        <f t="shared" ref="B146:G146" si="38">B144+B145</f>
        <v>279179756</v>
      </c>
      <c r="C146" s="34">
        <f t="shared" si="38"/>
        <v>279179756</v>
      </c>
      <c r="D146" s="34">
        <f t="shared" si="38"/>
        <v>279179756</v>
      </c>
      <c r="E146" s="34">
        <f t="shared" si="38"/>
        <v>279179756</v>
      </c>
      <c r="F146" s="34">
        <f t="shared" si="38"/>
        <v>279179756</v>
      </c>
      <c r="G146" s="34">
        <f t="shared" si="38"/>
        <v>279179756</v>
      </c>
      <c r="H146" s="3"/>
      <c r="I146" s="3"/>
      <c r="J146" s="3"/>
    </row>
    <row r="147" spans="1:10" ht="15.6" x14ac:dyDescent="0.3">
      <c r="A147" s="41"/>
      <c r="B147" s="27"/>
      <c r="C147" s="27"/>
      <c r="D147" s="27"/>
      <c r="E147" s="27"/>
      <c r="F147" s="27"/>
      <c r="G147" s="27"/>
      <c r="H147" s="3"/>
      <c r="I147" s="3"/>
      <c r="J147" s="3"/>
    </row>
    <row r="148" spans="1:10" ht="15.6" x14ac:dyDescent="0.3">
      <c r="A148" s="47" t="s">
        <v>69</v>
      </c>
      <c r="B148" s="55">
        <f t="shared" ref="B148:G148" si="39">B141/B146</f>
        <v>154.35685100319381</v>
      </c>
      <c r="C148" s="55">
        <f t="shared" si="39"/>
        <v>169.79253610351321</v>
      </c>
      <c r="D148" s="55">
        <f t="shared" si="39"/>
        <v>186.77178971386456</v>
      </c>
      <c r="E148" s="55">
        <f t="shared" si="39"/>
        <v>205.44896868525103</v>
      </c>
      <c r="F148" s="55">
        <f t="shared" si="39"/>
        <v>225.99386555377617</v>
      </c>
      <c r="G148" s="55">
        <f t="shared" si="39"/>
        <v>248.59325210915381</v>
      </c>
      <c r="H148" s="3"/>
      <c r="I148" s="3"/>
      <c r="J148" s="3"/>
    </row>
    <row r="149" spans="1:10" ht="15.6" x14ac:dyDescent="0.3">
      <c r="A149" s="47" t="s">
        <v>70</v>
      </c>
      <c r="B149" s="34">
        <f t="shared" ref="B149:G149" si="40">B142/B144</f>
        <v>139.39090913167786</v>
      </c>
      <c r="C149" s="34">
        <f t="shared" si="40"/>
        <v>149.84522731655372</v>
      </c>
      <c r="D149" s="34">
        <f t="shared" si="40"/>
        <v>161.08361936529525</v>
      </c>
      <c r="E149" s="34">
        <f t="shared" si="40"/>
        <v>173.1648908176924</v>
      </c>
      <c r="F149" s="34">
        <f t="shared" si="40"/>
        <v>186.15225762901932</v>
      </c>
      <c r="G149" s="34">
        <f t="shared" si="40"/>
        <v>200.11367695119574</v>
      </c>
      <c r="H149" s="3"/>
      <c r="I149" s="3"/>
      <c r="J149" s="3"/>
    </row>
    <row r="150" spans="1:10" ht="15.6" x14ac:dyDescent="0.3">
      <c r="A150" s="27"/>
      <c r="B150" s="27"/>
      <c r="C150" s="27"/>
      <c r="D150" s="27"/>
      <c r="E150" s="27"/>
      <c r="F150" s="27"/>
      <c r="G150" s="27"/>
      <c r="H150" s="3"/>
      <c r="I150" s="3"/>
      <c r="J150" s="3"/>
    </row>
    <row r="151" spans="1:10" ht="15.6" x14ac:dyDescent="0.3">
      <c r="A151" s="50" t="s">
        <v>71</v>
      </c>
      <c r="B151" s="51">
        <f t="shared" ref="B151:G151" si="41">B148-B149</f>
        <v>14.965941871515952</v>
      </c>
      <c r="C151" s="51">
        <f t="shared" si="41"/>
        <v>19.947308786959496</v>
      </c>
      <c r="D151" s="51">
        <f t="shared" si="41"/>
        <v>25.688170348569315</v>
      </c>
      <c r="E151" s="51">
        <f t="shared" si="41"/>
        <v>32.284077867558636</v>
      </c>
      <c r="F151" s="51">
        <f t="shared" si="41"/>
        <v>39.841607924756858</v>
      </c>
      <c r="G151" s="51">
        <f t="shared" si="41"/>
        <v>48.479575157958067</v>
      </c>
      <c r="H151" s="3"/>
      <c r="I151" s="3"/>
      <c r="J151" s="3"/>
    </row>
    <row r="152" spans="1:10" ht="15.6" x14ac:dyDescent="0.3">
      <c r="A152" s="50" t="s">
        <v>72</v>
      </c>
      <c r="B152" s="56">
        <f t="shared" ref="B152:G152" si="42">B148/B149-1</f>
        <v>0.10736669962729151</v>
      </c>
      <c r="C152" s="56">
        <f t="shared" si="42"/>
        <v>0.13311941357211232</v>
      </c>
      <c r="D152" s="56">
        <f t="shared" si="42"/>
        <v>0.15947102784123146</v>
      </c>
      <c r="E152" s="56">
        <f t="shared" si="42"/>
        <v>0.18643547034916708</v>
      </c>
      <c r="F152" s="56">
        <f t="shared" si="42"/>
        <v>0.21402699291542704</v>
      </c>
      <c r="G152" s="56">
        <f t="shared" si="42"/>
        <v>0.24226017879718142</v>
      </c>
      <c r="H152" s="3"/>
      <c r="I152" s="3"/>
      <c r="J152" s="3"/>
    </row>
    <row r="153" spans="1:10" ht="15.6" x14ac:dyDescent="0.3">
      <c r="A153" s="50" t="s">
        <v>73</v>
      </c>
      <c r="B153" s="53">
        <f t="shared" ref="B153:G153" si="43">IF(B152&gt;0,$D$29,$D$30)</f>
        <v>0</v>
      </c>
      <c r="C153" s="53">
        <f t="shared" si="43"/>
        <v>0</v>
      </c>
      <c r="D153" s="53">
        <f t="shared" si="43"/>
        <v>0</v>
      </c>
      <c r="E153" s="53">
        <f t="shared" si="43"/>
        <v>0</v>
      </c>
      <c r="F153" s="53">
        <f t="shared" si="43"/>
        <v>0</v>
      </c>
      <c r="G153" s="53">
        <f t="shared" si="43"/>
        <v>0</v>
      </c>
      <c r="H153" s="3"/>
      <c r="I153" s="3"/>
      <c r="J153" s="3"/>
    </row>
    <row r="154" spans="1:10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x14ac:dyDescent="0.3">
      <c r="A156" s="3"/>
      <c r="B156" s="3"/>
      <c r="C156" s="3"/>
    </row>
    <row r="157" spans="1:10" x14ac:dyDescent="0.3">
      <c r="A157" s="3"/>
      <c r="B157" s="3"/>
      <c r="C157" s="3"/>
    </row>
    <row r="158" spans="1:10" x14ac:dyDescent="0.3">
      <c r="A158" s="3"/>
      <c r="B158" s="3"/>
      <c r="C158" s="3"/>
    </row>
    <row r="159" spans="1:10" x14ac:dyDescent="0.3">
      <c r="A159" s="3"/>
      <c r="B159" s="3"/>
      <c r="C159" s="3"/>
    </row>
    <row r="160" spans="1:10" x14ac:dyDescent="0.3">
      <c r="A160" s="3"/>
      <c r="B160" s="3"/>
      <c r="C160" s="3"/>
    </row>
    <row r="161" spans="1:3" x14ac:dyDescent="0.3">
      <c r="A161" s="3"/>
      <c r="B161" s="3"/>
      <c r="C161" s="3"/>
    </row>
    <row r="162" spans="1:3" x14ac:dyDescent="0.3">
      <c r="A162" s="3"/>
      <c r="B162" s="3"/>
      <c r="C162" s="3"/>
    </row>
    <row r="163" spans="1:3" x14ac:dyDescent="0.3">
      <c r="A163" s="3"/>
      <c r="B163" s="3"/>
      <c r="C163" s="3"/>
    </row>
    <row r="164" spans="1:3" x14ac:dyDescent="0.3">
      <c r="A164" s="3"/>
      <c r="B164" s="3"/>
      <c r="C164" s="3"/>
    </row>
    <row r="165" spans="1:3" x14ac:dyDescent="0.3">
      <c r="A165" s="3"/>
      <c r="B165" s="3"/>
      <c r="C165" s="3"/>
    </row>
    <row r="166" spans="1:3" x14ac:dyDescent="0.3">
      <c r="A166" s="3"/>
      <c r="B166" s="3"/>
      <c r="C166" s="3"/>
    </row>
    <row r="167" spans="1:3" x14ac:dyDescent="0.3">
      <c r="A167" s="3"/>
      <c r="B167" s="3"/>
      <c r="C167" s="3"/>
    </row>
    <row r="168" spans="1:3" x14ac:dyDescent="0.3">
      <c r="A168" s="3"/>
      <c r="B168" s="3"/>
      <c r="C168" s="3"/>
    </row>
    <row r="169" spans="1:3" x14ac:dyDescent="0.3">
      <c r="A169" s="3"/>
      <c r="B169" s="3"/>
      <c r="C169" s="3"/>
    </row>
    <row r="170" spans="1:3" x14ac:dyDescent="0.3">
      <c r="A170" s="3"/>
      <c r="B170" s="3"/>
      <c r="C170" s="3"/>
    </row>
    <row r="171" spans="1:3" x14ac:dyDescent="0.3">
      <c r="A171" s="3"/>
      <c r="B171" s="3"/>
      <c r="C171" s="3"/>
    </row>
    <row r="172" spans="1:3" x14ac:dyDescent="0.3">
      <c r="A172" s="3"/>
      <c r="B172" s="3"/>
      <c r="C172" s="3"/>
    </row>
  </sheetData>
  <mergeCells count="76">
    <mergeCell ref="I5:J5"/>
    <mergeCell ref="A2:H2"/>
    <mergeCell ref="A4:H4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K4:O4"/>
    <mergeCell ref="M6:P6"/>
    <mergeCell ref="P7:P8"/>
    <mergeCell ref="C27:D27"/>
    <mergeCell ref="E27:F27"/>
    <mergeCell ref="G27:H27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A33:G33"/>
    <mergeCell ref="A59:G59"/>
    <mergeCell ref="A91:G91"/>
    <mergeCell ref="C25:D25"/>
    <mergeCell ref="E25:F25"/>
    <mergeCell ref="G25:H25"/>
    <mergeCell ref="C26:D26"/>
    <mergeCell ref="E26:F26"/>
    <mergeCell ref="N94:O95"/>
    <mergeCell ref="K16:Q16"/>
    <mergeCell ref="K39:Q39"/>
    <mergeCell ref="K63:Q63"/>
    <mergeCell ref="A124:G124"/>
    <mergeCell ref="G26:H26"/>
    <mergeCell ref="C21:D21"/>
    <mergeCell ref="E21:F21"/>
    <mergeCell ref="G21:H21"/>
    <mergeCell ref="A22:B22"/>
    <mergeCell ref="A23:B23"/>
    <mergeCell ref="C24:D24"/>
    <mergeCell ref="E24:F24"/>
    <mergeCell ref="G24:H24"/>
    <mergeCell ref="C19:D19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6434-43F1-45D0-9220-23F2082EF605}">
  <dimension ref="A1:F10"/>
  <sheetViews>
    <sheetView zoomScale="90" workbookViewId="0">
      <selection activeCell="E8" sqref="E8"/>
    </sheetView>
  </sheetViews>
  <sheetFormatPr defaultRowHeight="14.4" x14ac:dyDescent="0.3"/>
  <cols>
    <col min="1" max="1" width="18.109375" customWidth="1"/>
    <col min="2" max="2" width="22.33203125" customWidth="1"/>
    <col min="3" max="3" width="22" customWidth="1"/>
    <col min="4" max="4" width="19.5546875" customWidth="1"/>
    <col min="5" max="5" width="19.44140625" customWidth="1"/>
    <col min="6" max="6" width="21.77734375" customWidth="1"/>
  </cols>
  <sheetData>
    <row r="1" spans="1:6" ht="15" thickBot="1" x14ac:dyDescent="0.35">
      <c r="A1" s="125" t="s">
        <v>128</v>
      </c>
      <c r="B1" s="125" t="s">
        <v>129</v>
      </c>
      <c r="C1" s="125" t="s">
        <v>146</v>
      </c>
      <c r="D1" s="125" t="s">
        <v>147</v>
      </c>
      <c r="E1" s="125" t="s">
        <v>130</v>
      </c>
      <c r="F1" s="125" t="s">
        <v>131</v>
      </c>
    </row>
    <row r="2" spans="1:6" ht="58.2" thickBot="1" x14ac:dyDescent="0.35">
      <c r="A2" s="124" t="s">
        <v>132</v>
      </c>
      <c r="B2" s="124" t="s">
        <v>133</v>
      </c>
      <c r="C2" s="126">
        <v>150</v>
      </c>
      <c r="D2" s="126">
        <v>200</v>
      </c>
      <c r="E2" s="126">
        <v>250</v>
      </c>
      <c r="F2" s="124" t="s">
        <v>134</v>
      </c>
    </row>
    <row r="3" spans="1:6" ht="29.4" thickBot="1" x14ac:dyDescent="0.35">
      <c r="A3" s="124" t="s">
        <v>135</v>
      </c>
      <c r="B3" s="124" t="s">
        <v>136</v>
      </c>
      <c r="C3" s="126">
        <v>100</v>
      </c>
      <c r="D3" s="126">
        <v>120</v>
      </c>
      <c r="E3" s="126">
        <v>150</v>
      </c>
      <c r="F3" s="124" t="s">
        <v>137</v>
      </c>
    </row>
    <row r="4" spans="1:6" ht="29.4" thickBot="1" x14ac:dyDescent="0.35">
      <c r="A4" s="124" t="s">
        <v>138</v>
      </c>
      <c r="B4" s="124" t="s">
        <v>139</v>
      </c>
      <c r="C4" s="126">
        <v>50</v>
      </c>
      <c r="D4" s="126">
        <v>60</v>
      </c>
      <c r="E4" s="126">
        <v>70</v>
      </c>
      <c r="F4" s="124" t="s">
        <v>140</v>
      </c>
    </row>
    <row r="5" spans="1:6" ht="43.8" thickBot="1" x14ac:dyDescent="0.35">
      <c r="A5" s="125" t="s">
        <v>141</v>
      </c>
      <c r="B5" s="124"/>
      <c r="C5" s="126">
        <v>300</v>
      </c>
      <c r="D5" s="126">
        <v>380</v>
      </c>
      <c r="E5" s="126">
        <v>470</v>
      </c>
      <c r="F5" s="124"/>
    </row>
    <row r="7" spans="1:6" ht="28.8" x14ac:dyDescent="0.3">
      <c r="A7" s="127" t="s">
        <v>142</v>
      </c>
      <c r="B7" s="127" t="s">
        <v>143</v>
      </c>
    </row>
    <row r="8" spans="1:6" x14ac:dyDescent="0.3">
      <c r="A8" s="127" t="s">
        <v>144</v>
      </c>
      <c r="B8" s="128">
        <f>NPV(8.5%,C8:E8)</f>
        <v>967.25751109796693</v>
      </c>
      <c r="C8">
        <f>300</f>
        <v>300</v>
      </c>
      <c r="D8">
        <f>380</f>
        <v>380</v>
      </c>
      <c r="E8">
        <f>470</f>
        <v>470</v>
      </c>
    </row>
    <row r="10" spans="1:6" x14ac:dyDescent="0.3">
      <c r="A10" s="129" t="s">
        <v>145</v>
      </c>
      <c r="B10" s="130">
        <f>B8*10000000</f>
        <v>9672575110.9796696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 merger</vt:lpstr>
      <vt:lpstr>Synergy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Shivam Raj</cp:lastModifiedBy>
  <cp:lastPrinted>2012-12-06T18:14:13Z</cp:lastPrinted>
  <dcterms:created xsi:type="dcterms:W3CDTF">2012-08-17T09:55:37Z</dcterms:created>
  <dcterms:modified xsi:type="dcterms:W3CDTF">2026-02-05T08:36:21Z</dcterms:modified>
</cp:coreProperties>
</file>