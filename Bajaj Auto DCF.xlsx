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0824AE2-A452-44B0-8A8D-5183693DFBE4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 Sheet" sheetId="6" r:id="rId5"/>
    <sheet name="Valuation" sheetId="7" r:id="rId6"/>
    <sheet name="Forecast working capital" sheetId="8" r:id="rId7"/>
  </sheets>
  <definedNames>
    <definedName name="tgr">#REF!</definedName>
    <definedName name="UPDATE">'Data Sheet'!$E$1</definedName>
    <definedName name="wacc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43" i="7" l="1"/>
  <c r="I47" i="7"/>
  <c r="I42" i="7"/>
  <c r="I40" i="7"/>
  <c r="N46" i="7"/>
  <c r="F32" i="7"/>
  <c r="C26" i="2"/>
  <c r="D26" i="2"/>
  <c r="E26" i="2"/>
  <c r="F26" i="2"/>
  <c r="G26" i="2"/>
  <c r="H26" i="2"/>
  <c r="E21" i="7"/>
  <c r="F21" i="7"/>
  <c r="D21" i="7"/>
  <c r="J26" i="2"/>
  <c r="K26" i="2"/>
  <c r="I26" i="2"/>
  <c r="E20" i="7"/>
  <c r="F20" i="7"/>
  <c r="D20" i="7"/>
  <c r="H13" i="7"/>
  <c r="H19" i="7" s="1"/>
  <c r="L26" i="6"/>
  <c r="G34" i="6"/>
  <c r="H34" i="6"/>
  <c r="E13" i="7"/>
  <c r="F13" i="7"/>
  <c r="F19" i="7" s="1"/>
  <c r="D13" i="7"/>
  <c r="D19" i="7" s="1"/>
  <c r="E10" i="7"/>
  <c r="F10" i="7"/>
  <c r="D10" i="7"/>
  <c r="E7" i="7"/>
  <c r="F7" i="7"/>
  <c r="D7" i="7"/>
  <c r="J33" i="6"/>
  <c r="K33" i="6"/>
  <c r="J34" i="6"/>
  <c r="K34" i="6"/>
  <c r="I34" i="6"/>
  <c r="I33" i="6"/>
  <c r="H6" i="7"/>
  <c r="I6" i="7" s="1"/>
  <c r="J6" i="7" s="1"/>
  <c r="K6" i="7" s="1"/>
  <c r="L6" i="7" s="1"/>
  <c r="M6" i="7" s="1"/>
  <c r="E5" i="7"/>
  <c r="F5" i="7"/>
  <c r="H5" i="7" s="1"/>
  <c r="H10" i="7" s="1"/>
  <c r="D5" i="7"/>
  <c r="A51" i="7"/>
  <c r="K46" i="7"/>
  <c r="A42" i="7"/>
  <c r="K39" i="7"/>
  <c r="C34" i="7"/>
  <c r="F33" i="7"/>
  <c r="C32" i="7"/>
  <c r="H20" i="7"/>
  <c r="J20" i="7" s="1"/>
  <c r="L20" i="7" s="1"/>
  <c r="E19" i="7"/>
  <c r="D8" i="7"/>
  <c r="D4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J6" i="1" s="1"/>
  <c r="J19" i="1" s="1"/>
  <c r="K5" i="1"/>
  <c r="B5" i="1"/>
  <c r="D13" i="1" s="1"/>
  <c r="E13" i="1" s="1"/>
  <c r="C13" i="1"/>
  <c r="F13" i="1"/>
  <c r="F14" i="1" s="1"/>
  <c r="G13" i="1"/>
  <c r="G14" i="1" s="1"/>
  <c r="B13" i="1"/>
  <c r="B6" i="6"/>
  <c r="C17" i="2"/>
  <c r="D17" i="2"/>
  <c r="E17" i="2"/>
  <c r="F17" i="2"/>
  <c r="G17" i="2"/>
  <c r="H17" i="2"/>
  <c r="I17" i="2"/>
  <c r="J17" i="2"/>
  <c r="J20" i="2" s="1"/>
  <c r="K17" i="2"/>
  <c r="C18" i="2"/>
  <c r="D18" i="2"/>
  <c r="E18" i="2"/>
  <c r="F18" i="2"/>
  <c r="G18" i="2"/>
  <c r="H18" i="2"/>
  <c r="I18" i="2"/>
  <c r="J18" i="2"/>
  <c r="J21" i="2" s="1"/>
  <c r="K18" i="2"/>
  <c r="K21" i="2" s="1"/>
  <c r="B17" i="2"/>
  <c r="C4" i="2"/>
  <c r="D4" i="2"/>
  <c r="E24" i="2" s="1"/>
  <c r="E4" i="2"/>
  <c r="E23" i="2" s="1"/>
  <c r="E5" i="2"/>
  <c r="F4" i="2"/>
  <c r="G4" i="2"/>
  <c r="H4" i="2"/>
  <c r="I4" i="2"/>
  <c r="I5" i="2"/>
  <c r="J4" i="2"/>
  <c r="J5" i="2"/>
  <c r="K4" i="2"/>
  <c r="K23" i="2" s="1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B23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H4" i="3"/>
  <c r="I4" i="3"/>
  <c r="L4" i="1" s="1"/>
  <c r="L23" i="1" s="1"/>
  <c r="J4" i="3"/>
  <c r="K4" i="3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K11" i="3"/>
  <c r="L11" i="1" s="1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1" i="2" s="1"/>
  <c r="D4" i="1"/>
  <c r="D20" i="2" s="1"/>
  <c r="E4" i="1"/>
  <c r="E20" i="2" s="1"/>
  <c r="F4" i="1"/>
  <c r="F20" i="2" s="1"/>
  <c r="G4" i="1"/>
  <c r="H4" i="1"/>
  <c r="I4" i="1"/>
  <c r="J4" i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F23" i="2" s="1"/>
  <c r="G12" i="1"/>
  <c r="G23" i="2" s="1"/>
  <c r="H12" i="1"/>
  <c r="H13" i="1" s="1"/>
  <c r="I12" i="1"/>
  <c r="I13" i="1" s="1"/>
  <c r="J12" i="1"/>
  <c r="J13" i="1" s="1"/>
  <c r="K12" i="1"/>
  <c r="K13" i="1" s="1"/>
  <c r="C15" i="1"/>
  <c r="C14" i="1" s="1"/>
  <c r="D15" i="1"/>
  <c r="E15" i="1"/>
  <c r="F15" i="1"/>
  <c r="G15" i="1"/>
  <c r="H15" i="1"/>
  <c r="I15" i="1"/>
  <c r="J15" i="1"/>
  <c r="K15" i="1"/>
  <c r="B15" i="1"/>
  <c r="B14" i="1" s="1"/>
  <c r="B7" i="1"/>
  <c r="B4" i="1"/>
  <c r="A1" i="1"/>
  <c r="A1" i="3" s="1"/>
  <c r="E1" i="6"/>
  <c r="H1" i="1" s="1"/>
  <c r="H16" i="2"/>
  <c r="D16" i="2"/>
  <c r="C16" i="2"/>
  <c r="F16" i="2"/>
  <c r="E6" i="1"/>
  <c r="E19" i="1"/>
  <c r="H23" i="2"/>
  <c r="D23" i="2"/>
  <c r="G6" i="1"/>
  <c r="G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I21" i="2"/>
  <c r="H21" i="2"/>
  <c r="G21" i="2"/>
  <c r="E21" i="2"/>
  <c r="D21" i="2"/>
  <c r="B18" i="2"/>
  <c r="B21" i="2" s="1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3" i="3"/>
  <c r="L15" i="1"/>
  <c r="B12" i="1"/>
  <c r="B11" i="1"/>
  <c r="B10" i="1"/>
  <c r="B9" i="1"/>
  <c r="B8" i="1"/>
  <c r="B3" i="1"/>
  <c r="I14" i="3"/>
  <c r="G14" i="3"/>
  <c r="G20" i="2"/>
  <c r="L12" i="1"/>
  <c r="L13" i="1" s="1"/>
  <c r="L14" i="1" s="1"/>
  <c r="L25" i="1" s="1"/>
  <c r="L6" i="1"/>
  <c r="H23" i="1"/>
  <c r="C13" i="8"/>
  <c r="C16" i="8"/>
  <c r="C11" i="8"/>
  <c r="C14" i="8"/>
  <c r="C15" i="8"/>
  <c r="C12" i="8"/>
  <c r="I13" i="7" l="1"/>
  <c r="F6" i="7"/>
  <c r="F8" i="7"/>
  <c r="E8" i="7"/>
  <c r="C35" i="7"/>
  <c r="D24" i="7" s="1"/>
  <c r="L26" i="7" s="1"/>
  <c r="E1" i="3"/>
  <c r="E1" i="2"/>
  <c r="E6" i="7"/>
  <c r="D9" i="7"/>
  <c r="D11" i="7"/>
  <c r="F11" i="7"/>
  <c r="F9" i="7"/>
  <c r="E9" i="7"/>
  <c r="E11" i="7"/>
  <c r="I20" i="7"/>
  <c r="K20" i="7" s="1"/>
  <c r="M20" i="7" s="1"/>
  <c r="N11" i="1"/>
  <c r="M11" i="1"/>
  <c r="K14" i="1"/>
  <c r="J14" i="1"/>
  <c r="L7" i="1"/>
  <c r="J23" i="2"/>
  <c r="D24" i="2"/>
  <c r="D6" i="1"/>
  <c r="D19" i="1" s="1"/>
  <c r="C6" i="1"/>
  <c r="C19" i="1" s="1"/>
  <c r="H24" i="1" s="1"/>
  <c r="L19" i="1"/>
  <c r="L24" i="1" s="1"/>
  <c r="K24" i="2"/>
  <c r="B14" i="3"/>
  <c r="I23" i="2"/>
  <c r="J23" i="1"/>
  <c r="H14" i="1"/>
  <c r="C20" i="2"/>
  <c r="B20" i="2"/>
  <c r="H24" i="2"/>
  <c r="B16" i="2"/>
  <c r="K6" i="1"/>
  <c r="K19" i="1" s="1"/>
  <c r="K24" i="1" s="1"/>
  <c r="M24" i="1" s="1"/>
  <c r="G24" i="2"/>
  <c r="A1" i="2"/>
  <c r="A1" i="4" s="1"/>
  <c r="C23" i="2"/>
  <c r="E14" i="1"/>
  <c r="L9" i="1"/>
  <c r="E16" i="2"/>
  <c r="F21" i="2"/>
  <c r="I14" i="1"/>
  <c r="K25" i="1" s="1"/>
  <c r="M25" i="1" s="1"/>
  <c r="M14" i="1" s="1"/>
  <c r="C24" i="2"/>
  <c r="J16" i="2"/>
  <c r="I23" i="1"/>
  <c r="N23" i="1" s="1"/>
  <c r="N4" i="1" s="1"/>
  <c r="L8" i="1"/>
  <c r="M8" i="1" s="1"/>
  <c r="J24" i="2"/>
  <c r="K14" i="3"/>
  <c r="I24" i="2"/>
  <c r="D14" i="1"/>
  <c r="I6" i="1"/>
  <c r="I19" i="1" s="1"/>
  <c r="F24" i="2"/>
  <c r="J25" i="1"/>
  <c r="M9" i="1"/>
  <c r="N9" i="1"/>
  <c r="N8" i="1"/>
  <c r="H25" i="1"/>
  <c r="N25" i="1" s="1"/>
  <c r="N14" i="1" s="1"/>
  <c r="I25" i="1"/>
  <c r="I20" i="2"/>
  <c r="H20" i="2"/>
  <c r="K23" i="1"/>
  <c r="M23" i="1" s="1"/>
  <c r="M4" i="1" s="1"/>
  <c r="H6" i="1"/>
  <c r="H19" i="1" s="1"/>
  <c r="J24" i="1" s="1"/>
  <c r="N24" i="1" s="1"/>
  <c r="F6" i="1"/>
  <c r="F19" i="1" s="1"/>
  <c r="I24" i="1" s="1"/>
  <c r="E1" i="4"/>
  <c r="D12" i="8"/>
  <c r="D14" i="8"/>
  <c r="E16" i="8"/>
  <c r="D13" i="8"/>
  <c r="E12" i="8"/>
  <c r="E14" i="8"/>
  <c r="E11" i="8"/>
  <c r="D16" i="8"/>
  <c r="E15" i="8"/>
  <c r="D15" i="8"/>
  <c r="D11" i="8"/>
  <c r="E13" i="8"/>
  <c r="J26" i="7" l="1"/>
  <c r="K26" i="7"/>
  <c r="N40" i="7"/>
  <c r="H26" i="7"/>
  <c r="J13" i="7"/>
  <c r="I19" i="7"/>
  <c r="M26" i="7"/>
  <c r="D45" i="7" s="1"/>
  <c r="I26" i="7"/>
  <c r="F14" i="7"/>
  <c r="F12" i="7"/>
  <c r="N47" i="7"/>
  <c r="N49" i="7" s="1"/>
  <c r="D43" i="7" s="1"/>
  <c r="D14" i="7"/>
  <c r="D12" i="7"/>
  <c r="E14" i="7"/>
  <c r="E12" i="7"/>
  <c r="N6" i="1"/>
  <c r="N10" i="1" s="1"/>
  <c r="N12" i="1" s="1"/>
  <c r="N13" i="1" s="1"/>
  <c r="N15" i="1" s="1"/>
  <c r="M6" i="1"/>
  <c r="M10" i="1" s="1"/>
  <c r="M12" i="1" s="1"/>
  <c r="M13" i="1" s="1"/>
  <c r="M15" i="1" s="1"/>
  <c r="K13" i="7" l="1"/>
  <c r="J19" i="7"/>
  <c r="D54" i="7"/>
  <c r="D15" i="7"/>
  <c r="D16" i="7"/>
  <c r="D17" i="7"/>
  <c r="D23" i="7" s="1"/>
  <c r="F17" i="7"/>
  <c r="F23" i="7" s="1"/>
  <c r="F15" i="7"/>
  <c r="F16" i="7"/>
  <c r="E16" i="7"/>
  <c r="E15" i="7"/>
  <c r="E17" i="7"/>
  <c r="E23" i="7" s="1"/>
  <c r="N5" i="1"/>
  <c r="M5" i="1"/>
  <c r="L13" i="7" l="1"/>
  <c r="K19" i="7"/>
  <c r="M13" i="7" l="1"/>
  <c r="M19" i="7" s="1"/>
  <c r="L19" i="7"/>
  <c r="H7" i="7" l="1"/>
  <c r="H8" i="7" s="1"/>
  <c r="I5" i="7"/>
  <c r="I10" i="7" s="1"/>
  <c r="H11" i="7" l="1"/>
  <c r="H9" i="7"/>
  <c r="J5" i="7"/>
  <c r="J10" i="7" s="1"/>
  <c r="I7" i="7"/>
  <c r="I8" i="7" s="1"/>
  <c r="I9" i="7" l="1"/>
  <c r="I11" i="7"/>
  <c r="J7" i="7"/>
  <c r="J8" i="7" s="1"/>
  <c r="K5" i="7"/>
  <c r="K10" i="7" s="1"/>
  <c r="H14" i="7"/>
  <c r="H12" i="7"/>
  <c r="J9" i="7" l="1"/>
  <c r="J11" i="7"/>
  <c r="H15" i="7"/>
  <c r="H16" i="7"/>
  <c r="H17" i="7" s="1"/>
  <c r="H23" i="7" s="1"/>
  <c r="H27" i="7" s="1"/>
  <c r="K7" i="7"/>
  <c r="K8" i="7"/>
  <c r="L5" i="7"/>
  <c r="L10" i="7" s="1"/>
  <c r="I12" i="7"/>
  <c r="I14" i="7"/>
  <c r="I15" i="7" l="1"/>
  <c r="I16" i="7"/>
  <c r="I17" i="7" s="1"/>
  <c r="I23" i="7" s="1"/>
  <c r="I27" i="7" s="1"/>
  <c r="M5" i="7"/>
  <c r="M10" i="7" s="1"/>
  <c r="L7" i="7"/>
  <c r="L8" i="7" s="1"/>
  <c r="K9" i="7"/>
  <c r="K11" i="7"/>
  <c r="J12" i="7"/>
  <c r="J14" i="7"/>
  <c r="L11" i="7" l="1"/>
  <c r="L9" i="7"/>
  <c r="J15" i="7"/>
  <c r="J16" i="7"/>
  <c r="J17" i="7" s="1"/>
  <c r="J23" i="7" s="1"/>
  <c r="J27" i="7" s="1"/>
  <c r="K14" i="7"/>
  <c r="K12" i="7"/>
  <c r="M7" i="7"/>
  <c r="M8" i="7" s="1"/>
  <c r="M9" i="7" l="1"/>
  <c r="M11" i="7"/>
  <c r="K15" i="7"/>
  <c r="K16" i="7"/>
  <c r="K17" i="7" s="1"/>
  <c r="K23" i="7" s="1"/>
  <c r="K27" i="7" s="1"/>
  <c r="L12" i="7"/>
  <c r="L14" i="7"/>
  <c r="L15" i="7" l="1"/>
  <c r="L16" i="7"/>
  <c r="L17" i="7" s="1"/>
  <c r="L23" i="7" s="1"/>
  <c r="L27" i="7" s="1"/>
  <c r="D42" i="7"/>
  <c r="D44" i="7" s="1"/>
  <c r="M14" i="7"/>
  <c r="M12" i="7"/>
  <c r="M16" i="7" l="1"/>
  <c r="M17" i="7" s="1"/>
  <c r="M23" i="7" s="1"/>
  <c r="M15" i="7"/>
  <c r="D46" i="7"/>
  <c r="N41" i="7"/>
  <c r="N39" i="7" l="1"/>
  <c r="D52" i="7" s="1"/>
  <c r="M27" i="7"/>
  <c r="D39" i="7" s="1"/>
  <c r="D48" i="7" s="1"/>
  <c r="I39" i="7" s="1"/>
  <c r="I45" i="7" s="1"/>
  <c r="I49" i="7" s="1"/>
  <c r="D51" i="7"/>
  <c r="D53" i="7" l="1"/>
  <c r="D55" i="7" s="1"/>
  <c r="D57" i="7" s="1"/>
</calcChain>
</file>

<file path=xl/sharedStrings.xml><?xml version="1.0" encoding="utf-8"?>
<sst xmlns="http://schemas.openxmlformats.org/spreadsheetml/2006/main" count="197" uniqueCount="140">
  <si>
    <t>COMPANY NAME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</si>
  <si>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</si>
  <si>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</si>
  <si>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</si>
  <si>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</si>
  <si>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</si>
  <si>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</si>
  <si>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</si>
  <si>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</si>
  <si>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</si>
  <si>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</si>
  <si>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</si>
  <si>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</si>
  <si>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</si>
  <si>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</si>
  <si>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</si>
  <si>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</si>
  <si>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</si>
  <si>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</si>
  <si>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</si>
  <si>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</si>
  <si>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</si>
  <si>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</si>
  <si>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</si>
  <si>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</si>
  <si>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</si>
  <si>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</si>
  <si>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</si>
  <si>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</si>
  <si>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</si>
  <si>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</si>
  <si>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</si>
  <si>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</si>
  <si>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</si>
  <si>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</si>
  <si>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</si>
  <si>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</si>
  <si>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</si>
  <si>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</si>
  <si>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</si>
  <si>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</si>
  <si>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</si>
  <si>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</si>
  <si>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</si>
  <si>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</si>
  <si>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</si>
  <si>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</si>
  <si>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</si>
  <si>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</si>
  <si>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</si>
  <si>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BAJAJ AUTO LTD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</si>
  <si>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</si>
  <si>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</si>
  <si>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</si>
  <si>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</si>
  <si>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</si>
  <si>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</si>
  <si>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</si>
  <si>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</si>
  <si>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</si>
  <si>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</si>
  <si>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</si>
  <si>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</si>
  <si>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</si>
  <si>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</si>
  <si>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</si>
  <si>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</si>
  <si>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</si>
  <si>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</si>
  <si>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</si>
  <si>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</si>
  <si>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</si>
  <si>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</si>
  <si>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</si>
  <si>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</si>
  <si>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</si>
  <si>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(INR  in crores, Financial Year March 31)</t>
  </si>
  <si>
    <t xml:space="preserve">Operating Scenario </t>
  </si>
  <si>
    <t>Historical Period</t>
  </si>
  <si>
    <t>Forecasted Period</t>
  </si>
  <si>
    <t xml:space="preserve">   % growth</t>
  </si>
  <si>
    <t>Cost of Goods Sold</t>
  </si>
  <si>
    <t>Gross Profit</t>
  </si>
  <si>
    <t xml:space="preserve">   % margin</t>
  </si>
  <si>
    <t>Selling, General &amp; Administrative</t>
  </si>
  <si>
    <t>EBITDA</t>
  </si>
  <si>
    <t>Depreciation &amp; Amortization</t>
  </si>
  <si>
    <t>EBIT</t>
  </si>
  <si>
    <t>Taxes</t>
  </si>
  <si>
    <t>EBIT(1-T)</t>
  </si>
  <si>
    <t>Plus: Depreciation &amp; Amortization</t>
  </si>
  <si>
    <t>Less: Capital Expenditures</t>
  </si>
  <si>
    <t>Less: Inc./(Dec.) in Net Working Capital</t>
  </si>
  <si>
    <t>Unlevered Free Cash Flow</t>
  </si>
  <si>
    <t xml:space="preserve">   WACC</t>
  </si>
  <si>
    <t xml:space="preserve">   Discount Period</t>
  </si>
  <si>
    <t xml:space="preserve">   Discount Factor</t>
  </si>
  <si>
    <t xml:space="preserve">   Present Value of Free Cash Flow</t>
  </si>
  <si>
    <t xml:space="preserve">WACC Calculation </t>
  </si>
  <si>
    <t>Risk Free rate of Return -Rf</t>
  </si>
  <si>
    <t xml:space="preserve">Beta </t>
  </si>
  <si>
    <t>Risk Premium - Rm-Rf</t>
  </si>
  <si>
    <t>Cost of debt post tax-Kd</t>
  </si>
  <si>
    <t>Weight of Debt -Wd</t>
  </si>
  <si>
    <t>Weight of Equity-We</t>
  </si>
  <si>
    <t>Cost of Equity-CAPM</t>
  </si>
  <si>
    <t>Cost of Capital-WACC</t>
  </si>
  <si>
    <t>Enterprise Value</t>
  </si>
  <si>
    <t xml:space="preserve"> Equity Value and Share Price</t>
  </si>
  <si>
    <t>Perpetuity Growth Rate</t>
  </si>
  <si>
    <t>Total Value Of NPV of Cash flows</t>
  </si>
  <si>
    <t>Less: Total Debt</t>
  </si>
  <si>
    <t>WACC</t>
  </si>
  <si>
    <t>Terminal Value ( Exit Multiple)</t>
  </si>
  <si>
    <t>Less: Noncontrolling Interest</t>
  </si>
  <si>
    <t xml:space="preserve">Terminal Value </t>
  </si>
  <si>
    <t>Plus: Cash and Cash Equivalents</t>
  </si>
  <si>
    <t>Exit Multiple</t>
  </si>
  <si>
    <t>Implied Perpetuity Growth Rate</t>
  </si>
  <si>
    <t xml:space="preserve">   Terminal Value</t>
  </si>
  <si>
    <t xml:space="preserve"> </t>
  </si>
  <si>
    <t>Discount Factor</t>
  </si>
  <si>
    <t xml:space="preserve">   Implied Equity Value</t>
  </si>
  <si>
    <t>Implied EV/EBITDA</t>
  </si>
  <si>
    <t xml:space="preserve">   Present Value of Terminal Value</t>
  </si>
  <si>
    <t>Fully Diluted Shares Outstanding</t>
  </si>
  <si>
    <t>2024 EBITDA</t>
  </si>
  <si>
    <t xml:space="preserve">   Enterprise Value with Exit multiple</t>
  </si>
  <si>
    <t xml:space="preserve">   Implied Share Price</t>
  </si>
  <si>
    <t>Terminal Value ( Perpetuity Formula)</t>
  </si>
  <si>
    <t>Share price as on 21-04-2025</t>
  </si>
  <si>
    <t>Perpetuity Growth rate</t>
  </si>
  <si>
    <t xml:space="preserve">   Enterprise Value with Perpetuity approach</t>
  </si>
  <si>
    <t>Note:All prices are in crores</t>
  </si>
  <si>
    <t>CAGR</t>
  </si>
  <si>
    <t>Timeline</t>
  </si>
  <si>
    <t>Values</t>
  </si>
  <si>
    <t>Forecast</t>
  </si>
  <si>
    <t>Lower Confidence Bound</t>
  </si>
  <si>
    <t>Upper Confidence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</si>
</sst>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0.0"/>
    <numFmt numFmtId="167" formatCode="_(* #,##0_);_(* \(#,##0\);_(* &quot;-&quot;??_);_(@_)"/>
    <numFmt numFmtId="168" formatCode="0.0%"/>
    <numFmt numFmtId="169" formatCode="0.0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i/>
      <sz val="10"/>
      <name val="Arial"/>
      <family val="2"/>
    </font>
    <font>
      <sz val="9"/>
      <color indexed="0"/>
      <name val="Helvetica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Helvetica"/>
    </font>
    <font>
      <b/>
      <sz val="10"/>
      <color theme="1"/>
      <name val="Arial"/>
      <family val="2"/>
    </font>
    <font>
      <i/>
      <sz val="10"/>
      <name val="Arial"/>
      <family val="2"/>
    </font>
    <font>
      <b/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i/>
      <sz val="12"/>
      <name val="Arial"/>
      <family val="2"/>
    </font>
    <font>
      <sz val="11"/>
      <color rgb="FF22222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8F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/>
    <xf numFmtId="0" fontId="14" fillId="0" borderId="0" applyFill="0" applyBorder="0" applyProtection="0">
      <protection locked="0"/>
    </xf>
  </cellStyleXfs>
  <cellXfs count="105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166" fontId="9" fillId="6" borderId="1" xfId="7" applyNumberFormat="1" applyFont="1" applyFill="1" applyBorder="1" applyProtection="1"/>
    <xf numFmtId="166" fontId="11" fillId="6" borderId="1" xfId="8" applyNumberFormat="1" applyFont="1" applyFill="1" applyBorder="1"/>
    <xf numFmtId="166" fontId="12" fillId="6" borderId="1" xfId="8" applyNumberFormat="1" applyFont="1" applyFill="1" applyBorder="1"/>
    <xf numFmtId="166" fontId="13" fillId="6" borderId="1" xfId="7" applyNumberFormat="1" applyFont="1" applyFill="1" applyBorder="1" applyProtection="1"/>
    <xf numFmtId="166" fontId="13" fillId="7" borderId="0" xfId="7" applyNumberFormat="1" applyFont="1" applyFill="1" applyBorder="1" applyAlignment="1" applyProtection="1">
      <alignment horizontal="right"/>
    </xf>
    <xf numFmtId="166" fontId="13" fillId="0" borderId="0" xfId="9" applyNumberFormat="1" applyFont="1" applyProtection="1"/>
    <xf numFmtId="166" fontId="14" fillId="0" borderId="0" xfId="9" applyNumberFormat="1" applyProtection="1"/>
    <xf numFmtId="166" fontId="13" fillId="0" borderId="0" xfId="8" applyNumberFormat="1" applyFont="1"/>
    <xf numFmtId="166" fontId="14" fillId="0" borderId="0" xfId="8" applyNumberFormat="1" applyFont="1"/>
    <xf numFmtId="166" fontId="15" fillId="0" borderId="0" xfId="8" applyNumberFormat="1" applyFont="1"/>
    <xf numFmtId="166" fontId="15" fillId="7" borderId="0" xfId="8" applyNumberFormat="1" applyFont="1" applyFill="1"/>
    <xf numFmtId="166" fontId="13" fillId="8" borderId="2" xfId="9" applyNumberFormat="1" applyFont="1" applyFill="1" applyBorder="1" applyAlignment="1" applyProtection="1">
      <alignment horizontal="centerContinuous"/>
    </xf>
    <xf numFmtId="166" fontId="14" fillId="8" borderId="2" xfId="9" applyNumberFormat="1" applyFill="1" applyBorder="1" applyAlignment="1" applyProtection="1">
      <alignment horizontal="centerContinuous"/>
    </xf>
    <xf numFmtId="166" fontId="13" fillId="0" borderId="0" xfId="8" applyNumberFormat="1" applyFont="1" applyAlignment="1">
      <alignment horizontal="center"/>
    </xf>
    <xf numFmtId="166" fontId="13" fillId="9" borderId="2" xfId="8" applyNumberFormat="1" applyFont="1" applyFill="1" applyBorder="1" applyAlignment="1">
      <alignment horizontal="center"/>
    </xf>
    <xf numFmtId="166" fontId="13" fillId="7" borderId="0" xfId="8" applyNumberFormat="1" applyFont="1" applyFill="1" applyAlignment="1">
      <alignment horizontal="center"/>
    </xf>
    <xf numFmtId="1" fontId="13" fillId="0" borderId="2" xfId="8" applyNumberFormat="1" applyFont="1" applyBorder="1" applyAlignment="1">
      <alignment horizontal="center"/>
    </xf>
    <xf numFmtId="166" fontId="13" fillId="10" borderId="2" xfId="8" applyNumberFormat="1" applyFont="1" applyFill="1" applyBorder="1" applyAlignment="1">
      <alignment horizontal="center"/>
    </xf>
    <xf numFmtId="1" fontId="13" fillId="0" borderId="4" xfId="8" applyNumberFormat="1" applyFont="1" applyBorder="1" applyAlignment="1">
      <alignment horizontal="center"/>
    </xf>
    <xf numFmtId="167" fontId="16" fillId="11" borderId="0" xfId="0" applyNumberFormat="1" applyFont="1" applyFill="1" applyAlignment="1">
      <alignment horizontal="center"/>
    </xf>
    <xf numFmtId="166" fontId="17" fillId="7" borderId="0" xfId="6" applyNumberFormat="1" applyFont="1" applyFill="1" applyBorder="1" applyAlignment="1" applyProtection="1">
      <alignment horizontal="center"/>
    </xf>
    <xf numFmtId="166" fontId="17" fillId="0" borderId="0" xfId="8" applyNumberFormat="1" applyFont="1" applyAlignment="1">
      <alignment horizontal="left"/>
    </xf>
    <xf numFmtId="166" fontId="17" fillId="0" borderId="0" xfId="7" applyNumberFormat="1" applyFont="1" applyFill="1" applyBorder="1" applyAlignment="1" applyProtection="1">
      <alignment horizontal="right"/>
    </xf>
    <xf numFmtId="9" fontId="16" fillId="0" borderId="0" xfId="6" applyFont="1" applyAlignment="1">
      <alignment horizontal="center"/>
    </xf>
    <xf numFmtId="168" fontId="17" fillId="0" borderId="0" xfId="6" applyNumberFormat="1" applyFont="1" applyAlignment="1" applyProtection="1">
      <alignment horizontal="right"/>
    </xf>
    <xf numFmtId="166" fontId="17" fillId="7" borderId="0" xfId="6" applyNumberFormat="1" applyFont="1" applyFill="1" applyBorder="1" applyAlignment="1" applyProtection="1">
      <alignment horizontal="right"/>
    </xf>
    <xf numFmtId="168" fontId="15" fillId="0" borderId="0" xfId="6" applyNumberFormat="1" applyFont="1" applyProtection="1"/>
    <xf numFmtId="166" fontId="13" fillId="0" borderId="0" xfId="8" applyNumberFormat="1" applyFont="1" applyAlignment="1">
      <alignment horizontal="left"/>
    </xf>
    <xf numFmtId="167" fontId="16" fillId="0" borderId="0" xfId="0" applyNumberFormat="1" applyFont="1" applyAlignment="1">
      <alignment horizontal="center"/>
    </xf>
    <xf numFmtId="168" fontId="17" fillId="0" borderId="0" xfId="6" applyNumberFormat="1" applyFont="1" applyAlignment="1" applyProtection="1">
      <alignment horizontal="center"/>
    </xf>
    <xf numFmtId="166" fontId="17" fillId="7" borderId="0" xfId="7" applyNumberFormat="1" applyFont="1" applyFill="1" applyBorder="1" applyAlignment="1" applyProtection="1">
      <alignment horizontal="right"/>
    </xf>
    <xf numFmtId="166" fontId="14" fillId="0" borderId="0" xfId="8" applyNumberFormat="1" applyFont="1" applyAlignment="1">
      <alignment horizontal="left"/>
    </xf>
    <xf numFmtId="168" fontId="14" fillId="0" borderId="0" xfId="6" applyNumberFormat="1" applyFont="1" applyProtection="1"/>
    <xf numFmtId="9" fontId="14" fillId="0" borderId="0" xfId="6" applyFont="1" applyProtection="1"/>
    <xf numFmtId="10" fontId="14" fillId="10" borderId="0" xfId="6" applyNumberFormat="1" applyFont="1" applyFill="1" applyBorder="1" applyAlignment="1" applyProtection="1">
      <alignment horizontal="right"/>
    </xf>
    <xf numFmtId="166" fontId="17" fillId="0" borderId="0" xfId="6" applyNumberFormat="1" applyFont="1" applyFill="1" applyBorder="1" applyAlignment="1" applyProtection="1">
      <alignment horizontal="center"/>
    </xf>
    <xf numFmtId="166" fontId="14" fillId="0" borderId="0" xfId="8" applyNumberFormat="1" applyFont="1" applyAlignment="1">
      <alignment horizontal="right"/>
    </xf>
    <xf numFmtId="166" fontId="14" fillId="0" borderId="0" xfId="6" applyNumberFormat="1" applyFont="1" applyBorder="1" applyAlignment="1" applyProtection="1">
      <alignment horizontal="right"/>
    </xf>
    <xf numFmtId="169" fontId="14" fillId="0" borderId="0" xfId="8" applyNumberFormat="1" applyFont="1" applyAlignment="1">
      <alignment horizontal="center"/>
    </xf>
    <xf numFmtId="166" fontId="14" fillId="7" borderId="0" xfId="8" applyNumberFormat="1" applyFont="1" applyFill="1"/>
    <xf numFmtId="166" fontId="13" fillId="8" borderId="0" xfId="8" applyNumberFormat="1" applyFont="1" applyFill="1"/>
    <xf numFmtId="166" fontId="14" fillId="8" borderId="0" xfId="8" applyNumberFormat="1" applyFont="1" applyFill="1"/>
    <xf numFmtId="166" fontId="9" fillId="8" borderId="0" xfId="8" applyNumberFormat="1" applyFont="1" applyFill="1"/>
    <xf numFmtId="167" fontId="16" fillId="12" borderId="0" xfId="0" applyNumberFormat="1" applyFont="1" applyFill="1" applyAlignment="1">
      <alignment horizontal="center"/>
    </xf>
    <xf numFmtId="166" fontId="13" fillId="7" borderId="0" xfId="8" applyNumberFormat="1" applyFont="1" applyFill="1"/>
    <xf numFmtId="166" fontId="9" fillId="0" borderId="0" xfId="8" applyNumberFormat="1" applyFont="1"/>
    <xf numFmtId="166" fontId="14" fillId="0" borderId="0" xfId="8" applyNumberFormat="1" applyFont="1" applyAlignment="1">
      <alignment horizontal="center"/>
    </xf>
    <xf numFmtId="166" fontId="13" fillId="13" borderId="0" xfId="8" applyNumberFormat="1" applyFont="1" applyFill="1"/>
    <xf numFmtId="166" fontId="18" fillId="13" borderId="0" xfId="8" applyNumberFormat="1" applyFont="1" applyFill="1"/>
    <xf numFmtId="166" fontId="19" fillId="13" borderId="0" xfId="8" applyNumberFormat="1" applyFont="1" applyFill="1"/>
    <xf numFmtId="166" fontId="20" fillId="13" borderId="0" xfId="8" applyNumberFormat="1" applyFont="1" applyFill="1"/>
    <xf numFmtId="166" fontId="14" fillId="13" borderId="0" xfId="8" applyNumberFormat="1" applyFont="1" applyFill="1"/>
    <xf numFmtId="168" fontId="14" fillId="0" borderId="0" xfId="6" applyNumberFormat="1" applyFont="1" applyFill="1" applyBorder="1" applyProtection="1"/>
    <xf numFmtId="2" fontId="14" fillId="0" borderId="0" xfId="8" applyNumberFormat="1" applyFont="1"/>
    <xf numFmtId="9" fontId="14" fillId="0" borderId="0" xfId="6" applyFont="1" applyFill="1" applyBorder="1" applyProtection="1"/>
    <xf numFmtId="166" fontId="17" fillId="0" borderId="0" xfId="8" applyNumberFormat="1" applyFont="1"/>
    <xf numFmtId="10" fontId="16" fillId="11" borderId="0" xfId="6" applyNumberFormat="1" applyFont="1" applyFill="1" applyAlignment="1">
      <alignment horizontal="center"/>
    </xf>
    <xf numFmtId="166" fontId="14" fillId="0" borderId="0" xfId="6" applyNumberFormat="1" applyFont="1" applyFill="1" applyBorder="1" applyProtection="1"/>
    <xf numFmtId="166" fontId="13" fillId="13" borderId="0" xfId="8" applyNumberFormat="1" applyFont="1" applyFill="1" applyAlignment="1">
      <alignment horizontal="centerContinuous"/>
    </xf>
    <xf numFmtId="166" fontId="17" fillId="0" borderId="0" xfId="9" applyNumberFormat="1" applyFont="1" applyFill="1" applyBorder="1" applyProtection="1"/>
    <xf numFmtId="166" fontId="17" fillId="0" borderId="0" xfId="6" applyNumberFormat="1" applyFont="1" applyProtection="1"/>
    <xf numFmtId="10" fontId="16" fillId="0" borderId="0" xfId="6" applyNumberFormat="1" applyFont="1" applyAlignment="1">
      <alignment horizontal="center"/>
    </xf>
    <xf numFmtId="166" fontId="13" fillId="14" borderId="2" xfId="9" applyNumberFormat="1" applyFont="1" applyFill="1" applyBorder="1" applyProtection="1"/>
    <xf numFmtId="166" fontId="14" fillId="0" borderId="0" xfId="9" applyNumberFormat="1" applyBorder="1" applyProtection="1"/>
    <xf numFmtId="166" fontId="14" fillId="0" borderId="0" xfId="9" applyNumberFormat="1" applyFill="1" applyBorder="1" applyProtection="1"/>
    <xf numFmtId="166" fontId="14" fillId="10" borderId="2" xfId="9" applyNumberFormat="1" applyFill="1" applyBorder="1" applyProtection="1"/>
    <xf numFmtId="166" fontId="13" fillId="0" borderId="0" xfId="9" applyNumberFormat="1" applyFont="1" applyFill="1" applyBorder="1" applyProtection="1"/>
    <xf numFmtId="169" fontId="14" fillId="0" borderId="2" xfId="9" applyNumberFormat="1" applyFill="1" applyBorder="1" applyProtection="1"/>
    <xf numFmtId="2" fontId="13" fillId="8" borderId="5" xfId="7" applyNumberFormat="1" applyFont="1" applyFill="1" applyBorder="1" applyAlignment="1" applyProtection="1">
      <alignment horizontal="right"/>
    </xf>
    <xf numFmtId="166" fontId="13" fillId="9" borderId="0" xfId="8" applyNumberFormat="1" applyFont="1" applyFill="1" applyAlignment="1">
      <alignment horizontal="centerContinuous"/>
    </xf>
    <xf numFmtId="166" fontId="14" fillId="9" borderId="0" xfId="8" applyNumberFormat="1" applyFont="1" applyFill="1" applyAlignment="1">
      <alignment horizontal="centerContinuous"/>
    </xf>
    <xf numFmtId="2" fontId="13" fillId="15" borderId="5" xfId="7" applyNumberFormat="1" applyFont="1" applyFill="1" applyBorder="1" applyAlignment="1" applyProtection="1">
      <alignment horizontal="right"/>
    </xf>
    <xf numFmtId="166" fontId="13" fillId="8" borderId="5" xfId="7" applyNumberFormat="1" applyFont="1" applyFill="1" applyBorder="1" applyAlignment="1" applyProtection="1">
      <alignment horizontal="right"/>
    </xf>
    <xf numFmtId="166" fontId="14" fillId="15" borderId="0" xfId="8" applyNumberFormat="1" applyFont="1" applyFill="1"/>
    <xf numFmtId="0" fontId="0" fillId="15" borderId="0" xfId="0" applyFill="1"/>
    <xf numFmtId="9" fontId="21" fillId="16" borderId="0" xfId="0" applyNumberFormat="1" applyFont="1" applyFill="1" applyAlignment="1">
      <alignment horizontal="right" vertical="center" wrapText="1"/>
    </xf>
    <xf numFmtId="43" fontId="0" fillId="0" borderId="0" xfId="0" applyNumberFormat="1"/>
    <xf numFmtId="165" fontId="0" fillId="0" borderId="0" xfId="0" applyNumberFormat="1"/>
    <xf numFmtId="1" fontId="16" fillId="11" borderId="0" xfId="0" applyNumberFormat="1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166" fontId="13" fillId="8" borderId="2" xfId="9" applyNumberFormat="1" applyFont="1" applyFill="1" applyBorder="1" applyAlignment="1" applyProtection="1">
      <alignment horizontal="center"/>
    </xf>
    <xf numFmtId="166" fontId="13" fillId="8" borderId="3" xfId="9" applyNumberFormat="1" applyFont="1" applyFill="1" applyBorder="1" applyAlignment="1" applyProtection="1">
      <alignment horizontal="center"/>
    </xf>
    <xf numFmtId="166" fontId="13" fillId="13" borderId="0" xfId="8" applyNumberFormat="1" applyFont="1" applyFill="1" applyAlignment="1">
      <alignment horizontal="center"/>
    </xf>
  </cellXfs>
  <cellStyles count="10">
    <cellStyle name="_x000a_386grabber=M" xfId="7" xr:uid="{552AA9A2-CA70-43B7-94D5-D65BC15F5068}"/>
    <cellStyle name="60% - Accent1" xfId="3" builtinId="32"/>
    <cellStyle name="60% - Accent3" xfId="4" builtinId="40"/>
    <cellStyle name="Accent6" xfId="5" builtinId="49"/>
    <cellStyle name="AFE" xfId="9" xr:uid="{7B3554A1-3E94-4973-9A13-0FAFE277B5F6}"/>
    <cellStyle name="Comma" xfId="1" builtinId="3"/>
    <cellStyle name="Hyperlink" xfId="2" builtinId="8"/>
    <cellStyle name="Normal" xfId="0" builtinId="0"/>
    <cellStyle name="Normal_Ch01 Pics v2.2" xfId="8" xr:uid="{E24CF4B5-433B-467B-A9D7-7F804CEC6893}"/>
    <cellStyle name="Percent" xfId="6" builtinId="5"/>
  </cellStyles>
  <dxfs count="35">
    <dxf>
      <font>
        <b/>
        <i val="0"/>
        <color theme="0"/>
      </font>
      <fill>
        <patternFill>
          <bgColor theme="5"/>
        </patternFill>
      </fill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[$-409]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12904908625557E-2"/>
          <c:y val="4.1558441558441558E-2"/>
          <c:w val="0.89308605989468703"/>
          <c:h val="0.802343252547977"/>
        </c:manualLayout>
      </c:layout>
      <c:lineChart>
        <c:grouping val="standard"/>
        <c:varyColors val="0"/>
        <c:ser>
          <c:idx val="0"/>
          <c:order val="0"/>
          <c:tx>
            <c:strRef>
              <c:f>'Forecast working capital'!$B$1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working capital'!$B$2:$B$16</c:f>
              <c:numCache>
                <c:formatCode>_(* #,##0.00_);_(* \(#,##0.00\);_(* "-"??_);_(@_)</c:formatCode>
                <c:ptCount val="15"/>
                <c:pt idx="0">
                  <c:v>1473.5800000000004</c:v>
                </c:pt>
                <c:pt idx="1">
                  <c:v>-537.5600000000004</c:v>
                </c:pt>
                <c:pt idx="2">
                  <c:v>-738.82999999999947</c:v>
                </c:pt>
                <c:pt idx="3">
                  <c:v>1226.8800000000001</c:v>
                </c:pt>
                <c:pt idx="4">
                  <c:v>-828.64000000000124</c:v>
                </c:pt>
                <c:pt idx="5">
                  <c:v>909.83000000000084</c:v>
                </c:pt>
                <c:pt idx="6">
                  <c:v>410.32999999999993</c:v>
                </c:pt>
                <c:pt idx="7">
                  <c:v>-1059.6900000000005</c:v>
                </c:pt>
                <c:pt idx="8">
                  <c:v>-840.35000000000036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A-41D0-9F85-B788B20234A7}"/>
            </c:ext>
          </c:extLst>
        </c:ser>
        <c:ser>
          <c:idx val="1"/>
          <c:order val="1"/>
          <c:tx>
            <c:strRef>
              <c:f>'Forecast working capital'!$C$1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working capital'!$A$2:$A$16</c:f>
              <c:numCache>
                <c:formatCode>[$-409]mmm\-yy;@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46843</c:v>
                </c:pt>
                <c:pt idx="13">
                  <c:v>47208</c:v>
                </c:pt>
                <c:pt idx="14">
                  <c:v>47573</c:v>
                </c:pt>
              </c:numCache>
            </c:numRef>
          </c:cat>
          <c:val>
            <c:numRef>
              <c:f>'Forecast working capital'!$C$2:$C$16</c:f>
              <c:numCache>
                <c:formatCode>General</c:formatCode>
                <c:ptCount val="15"/>
                <c:pt idx="8" formatCode="_(* #,##0.00_);_(* \(#,##0.00\);_(* &quot;-&quot;??_);_(@_)">
                  <c:v>-840.35000000000036</c:v>
                </c:pt>
                <c:pt idx="9" formatCode="_(* #,##0.00_);_(* \(#,##0.00\);_(* &quot;-&quot;??_);_(@_)">
                  <c:v>639.70756695637124</c:v>
                </c:pt>
                <c:pt idx="10" formatCode="_(* #,##0.00_);_(* \(#,##0.00\);_(* &quot;-&quot;??_);_(@_)">
                  <c:v>-1287.1769686272828</c:v>
                </c:pt>
                <c:pt idx="11" formatCode="_(* #,##0.00_);_(* \(#,##0.00\);_(* &quot;-&quot;??_);_(@_)">
                  <c:v>-1192.4784249186691</c:v>
                </c:pt>
                <c:pt idx="12" formatCode="_(* #,##0.00_);_(* \(#,##0.00\);_(* &quot;-&quot;??_);_(@_)">
                  <c:v>385.60339631020463</c:v>
                </c:pt>
                <c:pt idx="13" formatCode="_(* #,##0.00_);_(* \(#,##0.00\);_(* &quot;-&quot;??_);_(@_)">
                  <c:v>-1541.2811392734493</c:v>
                </c:pt>
                <c:pt idx="14" formatCode="_(* #,##0.00_);_(* \(#,##0.00\);_(* &quot;-&quot;??_);_(@_)">
                  <c:v>-1446.5825955648359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AA-41D0-9F85-B788B20234A7}"/>
            </c:ext>
          </c:extLst>
        </c:ser>
        <c:ser>
          <c:idx val="2"/>
          <c:order val="2"/>
          <c:tx>
            <c:strRef>
              <c:f>'Forecast working capital'!$D$1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DA1F2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working capital'!$A$2:$A$16</c:f>
              <c:numCache>
                <c:formatCode>[$-409]mmm\-yy;@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46843</c:v>
                </c:pt>
                <c:pt idx="13">
                  <c:v>47208</c:v>
                </c:pt>
                <c:pt idx="14">
                  <c:v>47573</c:v>
                </c:pt>
              </c:numCache>
            </c:numRef>
          </c:cat>
          <c:val>
            <c:numRef>
              <c:f>'Forecast working capital'!$D$2:$D$16</c:f>
              <c:numCache>
                <c:formatCode>General</c:formatCode>
                <c:ptCount val="15"/>
                <c:pt idx="8" formatCode="_(* #,##0.00_);_(* \(#,##0.00\);_(* &quot;-&quot;??_);_(@_)">
                  <c:v>-840.35000000000036</c:v>
                </c:pt>
                <c:pt idx="9" formatCode="_(* #,##0.00_);_(* \(#,##0.00\);_(* &quot;-&quot;??_);_(@_)">
                  <c:v>-620.53077227381868</c:v>
                </c:pt>
                <c:pt idx="10" formatCode="_(* #,##0.00_);_(* \(#,##0.00\);_(* &quot;-&quot;??_);_(@_)">
                  <c:v>-2547.4209789172392</c:v>
                </c:pt>
                <c:pt idx="11" formatCode="_(* #,##0.00_);_(* \(#,##0.00\);_(* &quot;-&quot;??_);_(@_)">
                  <c:v>-2452.7325170296444</c:v>
                </c:pt>
                <c:pt idx="12" formatCode="_(* #,##0.00_);_(* \(#,##0.00\);_(* &quot;-&quot;??_);_(@_)">
                  <c:v>-885.25496245115198</c:v>
                </c:pt>
                <c:pt idx="13" formatCode="_(* #,##0.00_);_(* \(#,##0.00\);_(* &quot;-&quot;??_);_(@_)">
                  <c:v>-2812.1619925629261</c:v>
                </c:pt>
                <c:pt idx="14" formatCode="_(* #,##0.00_);_(* \(#,##0.00\);_(* &quot;-&quot;??_);_(@_)">
                  <c:v>-2717.4940657667144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AA-41D0-9F85-B788B20234A7}"/>
            </c:ext>
          </c:extLst>
        </c:ser>
        <c:ser>
          <c:idx val="3"/>
          <c:order val="3"/>
          <c:tx>
            <c:strRef>
              <c:f>'Forecast working capital'!$E$1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DA1F2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working capital'!$A$2:$A$16</c:f>
              <c:numCache>
                <c:formatCode>[$-409]mmm\-yy;@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46843</c:v>
                </c:pt>
                <c:pt idx="13">
                  <c:v>47208</c:v>
                </c:pt>
                <c:pt idx="14">
                  <c:v>47573</c:v>
                </c:pt>
              </c:numCache>
            </c:numRef>
          </c:cat>
          <c:val>
            <c:numRef>
              <c:f>'Forecast working capital'!$E$2:$E$16</c:f>
              <c:numCache>
                <c:formatCode>General</c:formatCode>
                <c:ptCount val="15"/>
                <c:pt idx="8" formatCode="_(* #,##0.00_);_(* \(#,##0.00\);_(* &quot;-&quot;??_);_(@_)">
                  <c:v>-840.35000000000036</c:v>
                </c:pt>
                <c:pt idx="9" formatCode="_(* #,##0.00_);_(* \(#,##0.00\);_(* &quot;-&quot;??_);_(@_)">
                  <c:v>1899.9459061865612</c:v>
                </c:pt>
                <c:pt idx="10" formatCode="_(* #,##0.00_);_(* \(#,##0.00\);_(* &quot;-&quot;??_);_(@_)">
                  <c:v>-26.932958337326227</c:v>
                </c:pt>
                <c:pt idx="11" formatCode="_(* #,##0.00_);_(* \(#,##0.00\);_(* &quot;-&quot;??_);_(@_)">
                  <c:v>67.775667192306173</c:v>
                </c:pt>
                <c:pt idx="12" formatCode="_(* #,##0.00_);_(* \(#,##0.00\);_(* &quot;-&quot;??_);_(@_)">
                  <c:v>1656.4617550715611</c:v>
                </c:pt>
                <c:pt idx="13" formatCode="_(* #,##0.00_);_(* \(#,##0.00\);_(* &quot;-&quot;??_);_(@_)">
                  <c:v>-270.40028598397248</c:v>
                </c:pt>
                <c:pt idx="14" formatCode="_(* #,##0.00_);_(* \(#,##0.00\);_(* &quot;-&quot;??_);_(@_)">
                  <c:v>-175.67112536295735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AA-41D0-9F85-B788B2023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2117904"/>
        <c:axId val="1742115984"/>
      </c:lineChart>
      <c:catAx>
        <c:axId val="174211790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115984"/>
        <c:crosses val="autoZero"/>
        <c:auto val="1"/>
        <c:lblAlgn val="ctr"/>
        <c:lblOffset val="100"/>
        <c:noMultiLvlLbl val="0"/>
      </c:catAx>
      <c:valAx>
        <c:axId val="174211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11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</xdr:row>
      <xdr:rowOff>95250</xdr:rowOff>
    </xdr:from>
    <xdr:to>
      <xdr:col>18</xdr:col>
      <xdr:colOff>314325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ACB02-46C8-2ADE-C9D1-51DF1AEB4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4">
  <tableColumns count="14">
    <tableColumn id="1" xr3:uid="{00000000-0010-0000-0000-000001000000}" name="Column1" headerRowDxfId="33" dataDxfId="32"/>
    <tableColumn id="2" xr3:uid="{00000000-0010-0000-0000-000002000000}" name="Column2" headerRowDxfId="31"/>
    <tableColumn id="3" xr3:uid="{00000000-0010-0000-0000-000003000000}" name="Column3" headerRowDxfId="30"/>
    <tableColumn id="4" xr3:uid="{00000000-0010-0000-0000-000004000000}" name="Column4" headerRowDxfId="29"/>
    <tableColumn id="5" xr3:uid="{00000000-0010-0000-0000-000005000000}" name="Column5" headerRowDxfId="28"/>
    <tableColumn id="6" xr3:uid="{00000000-0010-0000-0000-000006000000}" name="Column6" headerRowDxfId="27"/>
    <tableColumn id="7" xr3:uid="{00000000-0010-0000-0000-000007000000}" name="Column7" headerRowDxfId="26"/>
    <tableColumn id="8" xr3:uid="{00000000-0010-0000-0000-000008000000}" name="Column8" headerRowDxfId="25"/>
    <tableColumn id="9" xr3:uid="{00000000-0010-0000-0000-000009000000}" name="Column9" headerRowDxfId="24"/>
    <tableColumn id="10" xr3:uid="{00000000-0010-0000-0000-00000A000000}" name="Column10" headerRowDxfId="23"/>
    <tableColumn id="11" xr3:uid="{00000000-0010-0000-0000-00000B000000}" name="Column11" headerRowDxfId="22"/>
    <tableColumn id="12" xr3:uid="{00000000-0010-0000-0000-00000C000000}" name="Column12" headerRowDxfId="21"/>
    <tableColumn id="13" xr3:uid="{00000000-0010-0000-0000-00000D000000}" name="Column13" headerRowDxfId="20" dataDxfId="19"/>
    <tableColumn id="14" xr3:uid="{00000000-0010-0000-0000-00000E000000}" name="Column14" headerRowDxfId="18" dataDxfId="17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6">
  <tableColumns count="11">
    <tableColumn id="1" xr3:uid="{00000000-0010-0000-0100-000001000000}" name="Column1" headerRowDxfId="15"/>
    <tableColumn id="2" xr3:uid="{00000000-0010-0000-0100-000002000000}" name="Column2" headerRowDxfId="14"/>
    <tableColumn id="3" xr3:uid="{00000000-0010-0000-0100-000003000000}" name="Column3" headerRowDxfId="13"/>
    <tableColumn id="4" xr3:uid="{00000000-0010-0000-0100-000004000000}" name="Column4" headerRowDxfId="12"/>
    <tableColumn id="5" xr3:uid="{00000000-0010-0000-0100-000005000000}" name="Column5" headerRowDxfId="11"/>
    <tableColumn id="6" xr3:uid="{00000000-0010-0000-0100-000006000000}" name="Column6" headerRowDxfId="10"/>
    <tableColumn id="7" xr3:uid="{00000000-0010-0000-0100-000007000000}" name="Column7" headerRowDxfId="9"/>
    <tableColumn id="8" xr3:uid="{00000000-0010-0000-0100-000008000000}" name="Column8" headerRowDxfId="8"/>
    <tableColumn id="9" xr3:uid="{00000000-0010-0000-0100-000009000000}" name="Column9" headerRowDxfId="7"/>
    <tableColumn id="10" xr3:uid="{00000000-0010-0000-0100-00000A000000}" name="Column10" headerRowDxfId="6"/>
    <tableColumn id="11" xr3:uid="{00000000-0010-0000-0100-00000B000000}" name="Column11" headerRowDxfId="5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343EBF-3049-4809-9D64-746C50E3F0FA}" name="Table3" displayName="Table3" ref="A1:E16" totalsRowShown="0">
  <autoFilter ref="A1:E16" xr:uid="{6F343EBF-3049-4809-9D64-746C50E3F0FA}"/>
  <tableColumns count="5">
    <tableColumn id="1" xr3:uid="{00BD8BBC-C703-455E-B794-2A0C0DB1CFC2}" name="Timeline" dataDxfId="4"/>
    <tableColumn id="2" xr3:uid="{D82386CF-7980-49AE-8469-53FC6DE4C6D8}" name="Values"/>
    <tableColumn id="3" xr3:uid="{7B2AE27F-300E-416A-B39A-7D0DC0A031F5}" name="Forecast" dataDxfId="3">
      <calculatedColumnFormula>_xlfn.FORECAST.ETS(A2,$B$2:$B$10,$A$2:$A$10,1,1)</calculatedColumnFormula>
    </tableColumn>
    <tableColumn id="4" xr3:uid="{535EC994-3EAC-4783-84AA-78EC5322F51C}" name="Lower Confidence Bound" dataDxfId="2">
      <calculatedColumnFormula>C2-_xlfn.FORECAST.ETS.CONFINT(A2,$B$2:$B$10,$A$2:$A$10,0.95,1,1)</calculatedColumnFormula>
    </tableColumn>
    <tableColumn id="5" xr3:uid="{DED90F8E-6D1D-4E5F-84C2-E36D882AE358}" name="Upper Confidence Bound" dataDxfId="1">
      <calculatedColumnFormula>C2+_xlfn.FORECAST.ETS.CONFINT(A2,$B$2:$B$10,$A$2:$A$10,0.95,1,1)</calculatedColumnFormula>
    </tableColumn>
  </tableColumns>
  <tableStyleInfo name="TableStyleMedium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N25"/>
  <sheetViews>
    <sheetView zoomScale="97" zoomScaleNormal="120" zoomScaleSheetLayoutView="100" zoomScalePageLayoutView="120" workbookViewId="0">
      <pane xSplit="1" ySplit="4" topLeftCell="B5" activePane="bottomRight" state="frozen"/>
      <selection activeCell="B6" sqref="B6"/>
      <selection pane="topRight" activeCell="B6" sqref="B6"/>
      <selection pane="bottomLeft" activeCell="B6" sqref="B6"/>
      <selection pane="bottomRight" activeCell="I6" sqref="I6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BAJAJ AUTO LTD</v>
      </c>
      <c r="H1" t="str">
        <f>UPDATE</f>
        <v/>
      </c>
      <c r="J1" s="3"/>
      <c r="K1" s="3"/>
    </row>
    <row r="3" spans="1:14" s="2" customFormat="1" x14ac:dyDescent="0.3">
      <c r="A3" s="11" t="s">
        <v>1</v>
      </c>
      <c r="B3" s="12">
        <f>'Data Sheet'!B16</f>
        <v>42094</v>
      </c>
      <c r="C3" s="12">
        <f>'Data Sheet'!C16</f>
        <v>42460</v>
      </c>
      <c r="D3" s="12">
        <f>'Data Sheet'!D16</f>
        <v>42825</v>
      </c>
      <c r="E3" s="12">
        <f>'Data Sheet'!E16</f>
        <v>43190</v>
      </c>
      <c r="F3" s="12">
        <f>'Data Sheet'!F16</f>
        <v>43555</v>
      </c>
      <c r="G3" s="12">
        <f>'Data Sheet'!G16</f>
        <v>43921</v>
      </c>
      <c r="H3" s="12">
        <f>'Data Sheet'!H16</f>
        <v>44286</v>
      </c>
      <c r="I3" s="12">
        <f>'Data Sheet'!I16</f>
        <v>44651</v>
      </c>
      <c r="J3" s="12">
        <f>'Data Sheet'!J16</f>
        <v>45016</v>
      </c>
      <c r="K3" s="12">
        <f>'Data Sheet'!K16</f>
        <v>45382</v>
      </c>
      <c r="L3" s="13" t="s">
        <v>2</v>
      </c>
      <c r="M3" s="13" t="s">
        <v>3</v>
      </c>
      <c r="N3" s="13" t="s">
        <v>4</v>
      </c>
    </row>
    <row r="4" spans="1:14" s="2" customFormat="1" x14ac:dyDescent="0.3">
      <c r="A4" s="2" t="s">
        <v>5</v>
      </c>
      <c r="B4" s="1">
        <f>'Data Sheet'!B17</f>
        <v>21595.439999999999</v>
      </c>
      <c r="C4" s="1">
        <f>'Data Sheet'!C17</f>
        <v>22573.69</v>
      </c>
      <c r="D4" s="1">
        <f>'Data Sheet'!D17</f>
        <v>21754.720000000001</v>
      </c>
      <c r="E4" s="1">
        <f>'Data Sheet'!E17</f>
        <v>25209.93</v>
      </c>
      <c r="F4" s="1">
        <f>'Data Sheet'!F17</f>
        <v>30357.63</v>
      </c>
      <c r="G4" s="1">
        <f>'Data Sheet'!G17</f>
        <v>29918.65</v>
      </c>
      <c r="H4" s="1">
        <f>'Data Sheet'!H17</f>
        <v>27741.08</v>
      </c>
      <c r="I4" s="1">
        <f>'Data Sheet'!I17</f>
        <v>33144.71</v>
      </c>
      <c r="J4" s="1">
        <f>'Data Sheet'!J17</f>
        <v>36455.379999999997</v>
      </c>
      <c r="K4" s="1">
        <f>'Data Sheet'!K17</f>
        <v>44870.43</v>
      </c>
      <c r="L4" s="1">
        <f>SUM(Quarters!H4:K4)</f>
        <v>49903.18</v>
      </c>
      <c r="M4" s="1">
        <f>$K4+M23*K4</f>
        <v>55227.938602886599</v>
      </c>
      <c r="N4" s="1">
        <f>$K4+N23*L4</f>
        <v>48926.598179599685</v>
      </c>
    </row>
    <row r="5" spans="1:14" x14ac:dyDescent="0.3">
      <c r="A5" t="s">
        <v>6</v>
      </c>
      <c r="B5" s="6">
        <f>SUM('Data Sheet'!B18,'Data Sheet'!B20:B24, -1*'Data Sheet'!B19)</f>
        <v>17467.040000000005</v>
      </c>
      <c r="C5" s="6">
        <f>SUM('Data Sheet'!C18,'Data Sheet'!C20:C24, -1*'Data Sheet'!C19)</f>
        <v>17780.740000000002</v>
      </c>
      <c r="D5" s="6">
        <f>SUM('Data Sheet'!D18,'Data Sheet'!D20:D24, -1*'Data Sheet'!D19)</f>
        <v>17326.09</v>
      </c>
      <c r="E5" s="6">
        <f>SUM('Data Sheet'!E18,'Data Sheet'!E20:E24, -1*'Data Sheet'!E19)</f>
        <v>20364.129999999997</v>
      </c>
      <c r="F5" s="6">
        <f>SUM('Data Sheet'!F18,'Data Sheet'!F20:F24, -1*'Data Sheet'!F19)</f>
        <v>25159.71</v>
      </c>
      <c r="G5" s="6">
        <f>SUM('Data Sheet'!G18,'Data Sheet'!G20:G24, -1*'Data Sheet'!G19)</f>
        <v>24809.310000000005</v>
      </c>
      <c r="H5" s="6">
        <f>SUM('Data Sheet'!H18,'Data Sheet'!H20:H24, -1*'Data Sheet'!H19)</f>
        <v>22803.300000000003</v>
      </c>
      <c r="I5" s="6">
        <f>SUM('Data Sheet'!I18,'Data Sheet'!I20:I24, -1*'Data Sheet'!I19)</f>
        <v>27885.91</v>
      </c>
      <c r="J5" s="6">
        <f>SUM('Data Sheet'!J18,'Data Sheet'!J20:J24, -1*'Data Sheet'!J19)</f>
        <v>29990.739999999998</v>
      </c>
      <c r="K5" s="6">
        <f>SUM('Data Sheet'!K18,'Data Sheet'!K20:K24, -1*'Data Sheet'!K19)</f>
        <v>36105.75</v>
      </c>
      <c r="L5" s="6">
        <f>SUM(Quarters!H5:K5)</f>
        <v>40424.42</v>
      </c>
      <c r="M5" s="6">
        <f t="shared" ref="M5:N5" si="0">M4-M6</f>
        <v>44737.777949567564</v>
      </c>
      <c r="N5" s="6">
        <f t="shared" si="0"/>
        <v>40247.209067008269</v>
      </c>
    </row>
    <row r="6" spans="1:14" s="2" customFormat="1" x14ac:dyDescent="0.3">
      <c r="A6" s="2" t="s">
        <v>7</v>
      </c>
      <c r="B6" s="1">
        <f>B4-B5</f>
        <v>4128.3999999999942</v>
      </c>
      <c r="C6" s="1">
        <f t="shared" ref="C6:K6" si="1">C4-C5</f>
        <v>4792.9499999999971</v>
      </c>
      <c r="D6" s="1">
        <f t="shared" si="1"/>
        <v>4428.630000000001</v>
      </c>
      <c r="E6" s="1">
        <f t="shared" si="1"/>
        <v>4845.8000000000029</v>
      </c>
      <c r="F6" s="1">
        <f t="shared" si="1"/>
        <v>5197.9200000000019</v>
      </c>
      <c r="G6" s="1">
        <f t="shared" si="1"/>
        <v>5109.3399999999965</v>
      </c>
      <c r="H6" s="1">
        <f t="shared" si="1"/>
        <v>4937.7799999999988</v>
      </c>
      <c r="I6" s="1">
        <f t="shared" si="1"/>
        <v>5258.7999999999993</v>
      </c>
      <c r="J6" s="1">
        <f t="shared" si="1"/>
        <v>6464.6399999999994</v>
      </c>
      <c r="K6" s="1">
        <f t="shared" si="1"/>
        <v>8764.68</v>
      </c>
      <c r="L6" s="1">
        <f>SUM(Quarters!H6:K6)</f>
        <v>9478.76</v>
      </c>
      <c r="M6" s="1">
        <f>M4*M24</f>
        <v>10490.160653319035</v>
      </c>
      <c r="N6" s="1">
        <f>N4*N24</f>
        <v>8679.3891125914197</v>
      </c>
    </row>
    <row r="7" spans="1:14" x14ac:dyDescent="0.3">
      <c r="A7" t="s">
        <v>8</v>
      </c>
      <c r="B7" s="6">
        <f>'Data Sheet'!B25</f>
        <v>228.5</v>
      </c>
      <c r="C7" s="6">
        <f>'Data Sheet'!C25</f>
        <v>1194.1500000000001</v>
      </c>
      <c r="D7" s="6">
        <f>'Data Sheet'!D25</f>
        <v>1467.61</v>
      </c>
      <c r="E7" s="6">
        <f>'Data Sheet'!E25</f>
        <v>1403.72</v>
      </c>
      <c r="F7" s="6">
        <f>'Data Sheet'!F25</f>
        <v>2027.83</v>
      </c>
      <c r="G7" s="6">
        <f>'Data Sheet'!G25</f>
        <v>1832.38</v>
      </c>
      <c r="H7" s="6">
        <f>'Data Sheet'!H25</f>
        <v>1569.68</v>
      </c>
      <c r="I7" s="6">
        <f>'Data Sheet'!I25</f>
        <v>2671.3</v>
      </c>
      <c r="J7" s="6">
        <f>'Data Sheet'!J25</f>
        <v>1702.7</v>
      </c>
      <c r="K7" s="6">
        <f>'Data Sheet'!K25</f>
        <v>1700.49</v>
      </c>
      <c r="L7" s="6">
        <f>SUM(Quarters!H7:K7)</f>
        <v>1526.11</v>
      </c>
      <c r="M7" s="6">
        <v>0</v>
      </c>
      <c r="N7" s="6">
        <v>0</v>
      </c>
    </row>
    <row r="8" spans="1:14" x14ac:dyDescent="0.3">
      <c r="A8" t="s">
        <v>9</v>
      </c>
      <c r="B8" s="6">
        <f>'Data Sheet'!B26</f>
        <v>267.45999999999998</v>
      </c>
      <c r="C8" s="6">
        <f>'Data Sheet'!C26</f>
        <v>307.16000000000003</v>
      </c>
      <c r="D8" s="6">
        <f>'Data Sheet'!D26</f>
        <v>307.29000000000002</v>
      </c>
      <c r="E8" s="6">
        <f>'Data Sheet'!E26</f>
        <v>314.8</v>
      </c>
      <c r="F8" s="6">
        <f>'Data Sheet'!F26</f>
        <v>265.69</v>
      </c>
      <c r="G8" s="6">
        <f>'Data Sheet'!G26</f>
        <v>246.43</v>
      </c>
      <c r="H8" s="6">
        <f>'Data Sheet'!H26</f>
        <v>259.37</v>
      </c>
      <c r="I8" s="6">
        <f>'Data Sheet'!I26</f>
        <v>269.76</v>
      </c>
      <c r="J8" s="6">
        <f>'Data Sheet'!J26</f>
        <v>285.85000000000002</v>
      </c>
      <c r="K8" s="6">
        <f>'Data Sheet'!K26</f>
        <v>364.77</v>
      </c>
      <c r="L8" s="6">
        <f>SUM(Quarters!H8:K8)</f>
        <v>387.80999999999995</v>
      </c>
      <c r="M8" s="6">
        <f>+$L8</f>
        <v>387.80999999999995</v>
      </c>
      <c r="N8" s="6">
        <f>+$L8</f>
        <v>387.80999999999995</v>
      </c>
    </row>
    <row r="9" spans="1:14" x14ac:dyDescent="0.3">
      <c r="A9" t="s">
        <v>10</v>
      </c>
      <c r="B9" s="6">
        <f>'Data Sheet'!B27</f>
        <v>6.49</v>
      </c>
      <c r="C9" s="6">
        <f>'Data Sheet'!C27</f>
        <v>1.05</v>
      </c>
      <c r="D9" s="6">
        <f>'Data Sheet'!D27</f>
        <v>1.4</v>
      </c>
      <c r="E9" s="6">
        <f>'Data Sheet'!E27</f>
        <v>1.31</v>
      </c>
      <c r="F9" s="6">
        <f>'Data Sheet'!F27</f>
        <v>4.4800000000000004</v>
      </c>
      <c r="G9" s="6">
        <f>'Data Sheet'!G27</f>
        <v>3.16</v>
      </c>
      <c r="H9" s="6">
        <f>'Data Sheet'!H27</f>
        <v>6.66</v>
      </c>
      <c r="I9" s="6">
        <f>'Data Sheet'!I27</f>
        <v>8.66</v>
      </c>
      <c r="J9" s="6">
        <f>'Data Sheet'!J27</f>
        <v>39.51</v>
      </c>
      <c r="K9" s="6">
        <f>'Data Sheet'!K27</f>
        <v>60.36</v>
      </c>
      <c r="L9" s="6">
        <f>SUM(Quarters!H9:K9)</f>
        <v>272.01</v>
      </c>
      <c r="M9" s="6">
        <f>+$L9</f>
        <v>272.01</v>
      </c>
      <c r="N9" s="6">
        <f>+$L9</f>
        <v>272.01</v>
      </c>
    </row>
    <row r="10" spans="1:14" x14ac:dyDescent="0.3">
      <c r="A10" t="s">
        <v>11</v>
      </c>
      <c r="B10" s="6">
        <f>'Data Sheet'!B28</f>
        <v>4082.95</v>
      </c>
      <c r="C10" s="6">
        <f>'Data Sheet'!C28</f>
        <v>5678.89</v>
      </c>
      <c r="D10" s="6">
        <f>'Data Sheet'!D28</f>
        <v>5587.55</v>
      </c>
      <c r="E10" s="6">
        <f>'Data Sheet'!E28</f>
        <v>5933.41</v>
      </c>
      <c r="F10" s="6">
        <f>'Data Sheet'!F28</f>
        <v>6955.58</v>
      </c>
      <c r="G10" s="6">
        <f>'Data Sheet'!G28</f>
        <v>6692.13</v>
      </c>
      <c r="H10" s="6">
        <f>'Data Sheet'!H28</f>
        <v>6241.43</v>
      </c>
      <c r="I10" s="6">
        <f>'Data Sheet'!I28</f>
        <v>7651.68</v>
      </c>
      <c r="J10" s="6">
        <f>'Data Sheet'!J28</f>
        <v>7841.98</v>
      </c>
      <c r="K10" s="6">
        <f>'Data Sheet'!K28</f>
        <v>10040.040000000001</v>
      </c>
      <c r="L10" s="6">
        <f>SUM(Quarters!H10:K10)</f>
        <v>10345.050000000001</v>
      </c>
      <c r="M10" s="6">
        <f>M6+M7-SUM(M8:M9)</f>
        <v>9830.3406533190355</v>
      </c>
      <c r="N10" s="6">
        <f>N6+N7-SUM(N8:N9)</f>
        <v>8019.56911259142</v>
      </c>
    </row>
    <row r="11" spans="1:14" x14ac:dyDescent="0.3">
      <c r="A11" t="s">
        <v>12</v>
      </c>
      <c r="B11" s="6">
        <f>'Data Sheet'!B29</f>
        <v>1271.05</v>
      </c>
      <c r="C11" s="6">
        <f>'Data Sheet'!C29</f>
        <v>1617.65</v>
      </c>
      <c r="D11" s="6">
        <f>'Data Sheet'!D29</f>
        <v>1508.07</v>
      </c>
      <c r="E11" s="6">
        <f>'Data Sheet'!E29</f>
        <v>1714.47</v>
      </c>
      <c r="F11" s="6">
        <f>'Data Sheet'!F29</f>
        <v>2027.98</v>
      </c>
      <c r="G11" s="6">
        <f>'Data Sheet'!G29</f>
        <v>1480.22</v>
      </c>
      <c r="H11" s="6">
        <f>'Data Sheet'!H29</f>
        <v>1384.41</v>
      </c>
      <c r="I11" s="6">
        <f>'Data Sheet'!I29</f>
        <v>1485.81</v>
      </c>
      <c r="J11" s="6">
        <f>'Data Sheet'!J29</f>
        <v>1781.77</v>
      </c>
      <c r="K11" s="6">
        <f>'Data Sheet'!K29</f>
        <v>2331.8000000000002</v>
      </c>
      <c r="L11" s="6">
        <f>SUM(Quarters!H11:K11)</f>
        <v>2810.74</v>
      </c>
      <c r="M11" s="7">
        <f>IF($L10&gt;0,$L11/$L10,0)</f>
        <v>0.27169902513762617</v>
      </c>
      <c r="N11" s="7">
        <f>IF($L10&gt;0,$L11/$L10,0)</f>
        <v>0.27169902513762617</v>
      </c>
    </row>
    <row r="12" spans="1:14" s="2" customFormat="1" x14ac:dyDescent="0.3">
      <c r="A12" s="2" t="s">
        <v>13</v>
      </c>
      <c r="B12" s="1">
        <f>'Data Sheet'!B30</f>
        <v>3025.63</v>
      </c>
      <c r="C12" s="1">
        <f>'Data Sheet'!C30</f>
        <v>4061.24</v>
      </c>
      <c r="D12" s="1">
        <f>'Data Sheet'!D30</f>
        <v>4079.49</v>
      </c>
      <c r="E12" s="1">
        <f>'Data Sheet'!E30</f>
        <v>4218.95</v>
      </c>
      <c r="F12" s="1">
        <f>'Data Sheet'!F30</f>
        <v>4927.6099999999997</v>
      </c>
      <c r="G12" s="1">
        <f>'Data Sheet'!G30</f>
        <v>5211.91</v>
      </c>
      <c r="H12" s="1">
        <f>'Data Sheet'!H30</f>
        <v>4857.0200000000004</v>
      </c>
      <c r="I12" s="1">
        <f>'Data Sheet'!I30</f>
        <v>6165.87</v>
      </c>
      <c r="J12" s="1">
        <f>'Data Sheet'!J30</f>
        <v>6060.21</v>
      </c>
      <c r="K12" s="1">
        <f>'Data Sheet'!K30</f>
        <v>7708.24</v>
      </c>
      <c r="L12" s="1">
        <f>SUM(Quarters!H12:K12)</f>
        <v>7534.3099999999995</v>
      </c>
      <c r="M12" s="1">
        <f>M10-M11*M10</f>
        <v>7159.4466810414779</v>
      </c>
      <c r="N12" s="1">
        <f>N10-N11*N10</f>
        <v>5840.6600026765136</v>
      </c>
    </row>
    <row r="13" spans="1:14" x14ac:dyDescent="0.3">
      <c r="A13" t="s">
        <v>46</v>
      </c>
      <c r="B13" s="6">
        <f>IF('Data Sheet'!B93&gt;0,B12/'Data Sheet'!B93,0)</f>
        <v>104.54837595024188</v>
      </c>
      <c r="C13" s="6">
        <f>IF('Data Sheet'!C93&gt;0,C12/'Data Sheet'!C93,0)</f>
        <v>140.33310297166551</v>
      </c>
      <c r="D13" s="6">
        <f>IF('Data Sheet'!D93&gt;0,D12/'Data Sheet'!D93,0)</f>
        <v>140.96371803731859</v>
      </c>
      <c r="E13" s="6">
        <f>IF('Data Sheet'!E93&gt;0,E12/'Data Sheet'!E93,0)</f>
        <v>145.78265376641326</v>
      </c>
      <c r="F13" s="6">
        <f>IF('Data Sheet'!F93&gt;0,F12/'Data Sheet'!F93,0)</f>
        <v>170.26986869384933</v>
      </c>
      <c r="G13" s="6">
        <f>IF('Data Sheet'!G93&gt;0,G12/'Data Sheet'!G93,0)</f>
        <v>180.09364201796819</v>
      </c>
      <c r="H13" s="6">
        <f>IF('Data Sheet'!H93&gt;0,H12/'Data Sheet'!H93,0)</f>
        <v>167.83068417415342</v>
      </c>
      <c r="I13" s="6">
        <f>IF('Data Sheet'!I93&gt;0,I12/'Data Sheet'!I93,0)</f>
        <v>213.05701451278506</v>
      </c>
      <c r="J13" s="6">
        <f>IF('Data Sheet'!J93&gt;0,J12/'Data Sheet'!J93,0)</f>
        <v>214.1416961130742</v>
      </c>
      <c r="K13" s="6">
        <f>IF('Data Sheet'!K93&gt;0,K12/'Data Sheet'!K93,0)</f>
        <v>276.08309455587391</v>
      </c>
      <c r="L13" s="6">
        <f>IF('Data Sheet'!$B6&gt;0,'Profit &amp; Loss'!L12/'Data Sheet'!$B6,0)</f>
        <v>269.78943406854552</v>
      </c>
      <c r="M13" s="6">
        <f>IF('Data Sheet'!$B6&gt;0,'Profit &amp; Loss'!M12/'Data Sheet'!$B6,0)</f>
        <v>256.36628547565829</v>
      </c>
      <c r="N13" s="6">
        <f>IF('Data Sheet'!$B6&gt;0,'Profit &amp; Loss'!N12/'Data Sheet'!$B6,0)</f>
        <v>209.14302128647299</v>
      </c>
    </row>
    <row r="14" spans="1:14" x14ac:dyDescent="0.3">
      <c r="A14" t="s">
        <v>15</v>
      </c>
      <c r="B14" s="6">
        <f>IF(B15&gt;0,B15/B13,"")</f>
        <v>19.288678390946679</v>
      </c>
      <c r="C14" s="6">
        <f t="shared" ref="C14:K14" si="2">IF(C15&gt;0,C15/C13,"")</f>
        <v>17.144564960455426</v>
      </c>
      <c r="D14" s="6">
        <f t="shared" si="2"/>
        <v>19.901929652971326</v>
      </c>
      <c r="E14" s="6">
        <f t="shared" si="2"/>
        <v>18.827342822266203</v>
      </c>
      <c r="F14" s="6">
        <f t="shared" si="2"/>
        <v>17.096976830552745</v>
      </c>
      <c r="G14" s="6">
        <f t="shared" si="2"/>
        <v>11.229435849813218</v>
      </c>
      <c r="H14" s="6">
        <f t="shared" si="2"/>
        <v>21.870851674483532</v>
      </c>
      <c r="I14" s="6">
        <f t="shared" si="2"/>
        <v>17.145645302285001</v>
      </c>
      <c r="J14" s="6">
        <f t="shared" si="2"/>
        <v>18.141025641025642</v>
      </c>
      <c r="K14" s="6">
        <f t="shared" si="2"/>
        <v>33.135495002750304</v>
      </c>
      <c r="L14" s="6">
        <f t="shared" ref="L14" si="3">IF(L13&gt;0,L15/L13,0)</f>
        <v>30.570137145936389</v>
      </c>
      <c r="M14" s="6">
        <f>M25</f>
        <v>30.570137145936389</v>
      </c>
      <c r="N14" s="6">
        <f>N25</f>
        <v>20.395643933953316</v>
      </c>
    </row>
    <row r="15" spans="1:14" s="2" customFormat="1" x14ac:dyDescent="0.3">
      <c r="A15" s="2" t="s">
        <v>47</v>
      </c>
      <c r="B15" s="1">
        <f>'Data Sheet'!B90</f>
        <v>2016.6</v>
      </c>
      <c r="C15" s="1">
        <f>'Data Sheet'!C90</f>
        <v>2405.9499999999998</v>
      </c>
      <c r="D15" s="1">
        <f>'Data Sheet'!D90</f>
        <v>2805.45</v>
      </c>
      <c r="E15" s="1">
        <f>'Data Sheet'!E90</f>
        <v>2744.7</v>
      </c>
      <c r="F15" s="1">
        <f>'Data Sheet'!F90</f>
        <v>2911.1</v>
      </c>
      <c r="G15" s="1">
        <f>'Data Sheet'!G90</f>
        <v>2022.35</v>
      </c>
      <c r="H15" s="1">
        <f>'Data Sheet'!H90</f>
        <v>3670.6</v>
      </c>
      <c r="I15" s="1">
        <f>'Data Sheet'!I90</f>
        <v>3653</v>
      </c>
      <c r="J15" s="1">
        <f>'Data Sheet'!J90</f>
        <v>3884.75</v>
      </c>
      <c r="K15" s="1">
        <f>'Data Sheet'!K90</f>
        <v>9148.15</v>
      </c>
      <c r="L15" s="1">
        <f>'Data Sheet'!B8</f>
        <v>8247.5</v>
      </c>
      <c r="M15" s="8">
        <f>M13*M14</f>
        <v>7837.1525065851538</v>
      </c>
      <c r="N15" s="9">
        <f>N13*N14</f>
        <v>4265.6065934301223</v>
      </c>
    </row>
    <row r="17" spans="1:14" s="2" customFormat="1" x14ac:dyDescent="0.3">
      <c r="A17" s="2" t="s">
        <v>14</v>
      </c>
    </row>
    <row r="18" spans="1:14" x14ac:dyDescent="0.3">
      <c r="A18" t="s">
        <v>16</v>
      </c>
      <c r="B18" s="5">
        <f>IF('Data Sheet'!B30&gt;0, 'Data Sheet'!B31/'Data Sheet'!B30, 0)</f>
        <v>0.4781979290263515</v>
      </c>
      <c r="C18" s="5">
        <f>IF('Data Sheet'!C30&gt;0, 'Data Sheet'!C31/'Data Sheet'!C30, 0)</f>
        <v>0.39188523702120537</v>
      </c>
      <c r="D18" s="5">
        <f>IF('Data Sheet'!D30&gt;0, 'Data Sheet'!D31/'Data Sheet'!D30, 0)</f>
        <v>0.3901320998458141</v>
      </c>
      <c r="E18" s="5">
        <f>IF('Data Sheet'!E30&gt;0, 'Data Sheet'!E31/'Data Sheet'!E30, 0)</f>
        <v>0.41152893492456655</v>
      </c>
      <c r="F18" s="5">
        <f>IF('Data Sheet'!F30&gt;0, 'Data Sheet'!F31/'Data Sheet'!F30, 0)</f>
        <v>0.35234525459604149</v>
      </c>
      <c r="G18" s="5">
        <f>IF('Data Sheet'!G30&gt;0, 'Data Sheet'!G31/'Data Sheet'!G30, 0)</f>
        <v>0.66625095214614227</v>
      </c>
      <c r="H18" s="5">
        <f>IF('Data Sheet'!H30&gt;0, 'Data Sheet'!H31/'Data Sheet'!H30, 0)</f>
        <v>0.83408756809731055</v>
      </c>
      <c r="I18" s="5">
        <f>IF('Data Sheet'!I30&gt;0, 'Data Sheet'!I31/'Data Sheet'!I30, 0)</f>
        <v>0.65703298966731372</v>
      </c>
      <c r="J18" s="5">
        <f>IF('Data Sheet'!J30&gt;0, 'Data Sheet'!J31/'Data Sheet'!J30, 0)</f>
        <v>0.6536803180087819</v>
      </c>
      <c r="K18" s="5">
        <f>IF('Data Sheet'!K30&gt;0, 'Data Sheet'!K31/'Data Sheet'!K30, 0)</f>
        <v>0.28974707585648607</v>
      </c>
    </row>
    <row r="19" spans="1:14" x14ac:dyDescent="0.3">
      <c r="A19" t="s">
        <v>17</v>
      </c>
      <c r="B19" s="5">
        <f t="shared" ref="B19:L19" si="4">IF(B6&gt;0,B6/B4,0)</f>
        <v>0.19116998773815186</v>
      </c>
      <c r="C19" s="5">
        <f t="shared" ref="C19:K19" si="5">IF(C6&gt;0,C6/C4,0)</f>
        <v>0.21232461329981928</v>
      </c>
      <c r="D19" s="5">
        <f t="shared" si="5"/>
        <v>0.20357099516794519</v>
      </c>
      <c r="E19" s="5">
        <f t="shared" si="5"/>
        <v>0.19221790778475001</v>
      </c>
      <c r="F19" s="5">
        <f t="shared" si="5"/>
        <v>0.17122285237681603</v>
      </c>
      <c r="G19" s="5">
        <f t="shared" si="5"/>
        <v>0.17077441662641851</v>
      </c>
      <c r="H19" s="5">
        <f t="shared" si="5"/>
        <v>0.17799523306230322</v>
      </c>
      <c r="I19" s="5">
        <f t="shared" si="5"/>
        <v>0.15866181963879</v>
      </c>
      <c r="J19" s="5">
        <f t="shared" si="5"/>
        <v>0.17733020475990099</v>
      </c>
      <c r="K19" s="5">
        <f t="shared" si="5"/>
        <v>0.19533309576039276</v>
      </c>
      <c r="L19" s="5">
        <f t="shared" si="4"/>
        <v>0.18994300563611377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18</v>
      </c>
      <c r="H22" s="12" t="s">
        <v>51</v>
      </c>
      <c r="I22" s="12" t="s">
        <v>52</v>
      </c>
      <c r="J22" s="12" t="s">
        <v>53</v>
      </c>
      <c r="K22" s="12" t="s">
        <v>54</v>
      </c>
      <c r="L22" s="13" t="s">
        <v>55</v>
      </c>
      <c r="M22" s="13" t="s">
        <v>19</v>
      </c>
      <c r="N22" s="13" t="s">
        <v>20</v>
      </c>
    </row>
    <row r="23" spans="1:14" s="2" customFormat="1" x14ac:dyDescent="0.3">
      <c r="A23"/>
      <c r="B23"/>
      <c r="C23"/>
      <c r="D23"/>
      <c r="E23"/>
      <c r="F23"/>
      <c r="G23" t="s">
        <v>21</v>
      </c>
      <c r="H23" s="5">
        <f>IF(B4=0,"",POWER($K4/B4,1/9)-1)</f>
        <v>8.464766597166884E-2</v>
      </c>
      <c r="I23" s="5">
        <f>IF(D4=0,"",POWER($K4/D4,1/7)-1)</f>
        <v>0.10895838145573555</v>
      </c>
      <c r="J23" s="5">
        <f>IF(F4=0,"",POWER($K4/F4,1/5)-1)</f>
        <v>8.128075564722903E-2</v>
      </c>
      <c r="K23" s="5">
        <f>IF(H4=0,"",POWER($K4/H4, 1/3)-1)</f>
        <v>0.17384914751783653</v>
      </c>
      <c r="L23" s="5">
        <f>IF(ISERROR(MAX(IF(J4=0,"",(K4-J4)/J4),IF(K4=0,"",(L4-K4)/K4))),"",MAX(IF(J4=0,"",(K4-J4)/J4),IF(K4=0,"",(L4-K4)/K4)))</f>
        <v>0.23083149867042954</v>
      </c>
      <c r="M23" s="16">
        <f>MAX(K23:L23)</f>
        <v>0.23083149867042954</v>
      </c>
      <c r="N23" s="16">
        <f>MIN(H23:L23)</f>
        <v>8.128075564722903E-2</v>
      </c>
    </row>
    <row r="24" spans="1:14" x14ac:dyDescent="0.3">
      <c r="G24" t="s">
        <v>17</v>
      </c>
      <c r="H24" s="5">
        <f>IF(SUM(B4:$K$4)=0,"",SUMPRODUCT(B19:$K$19,B4:$K$4)/SUM(B4:$K$4))</f>
        <v>0.18366812584602918</v>
      </c>
      <c r="I24" s="5">
        <f>IF(SUM(E4:$K$4)=0,"",SUMPRODUCT(E19:$K$19,E4:$K$4)/SUM(E4:$K$4))</f>
        <v>0.1782140987653768</v>
      </c>
      <c r="J24" s="5">
        <f>IF(SUM(G4:$K$4)=0,"",SUMPRODUCT(G19:$K$19,G4:$K$4)/SUM(G4:$K$4))</f>
        <v>0.17739612880362396</v>
      </c>
      <c r="K24" s="5">
        <f>IF(SUM(I4:$K$4)=0, "", SUMPRODUCT(I19:$K$19,I4:$K$4)/SUM(I4:$K$4))</f>
        <v>0.17898162775883258</v>
      </c>
      <c r="L24" s="5">
        <f>L19</f>
        <v>0.18994300563611377</v>
      </c>
      <c r="M24" s="16">
        <f>MAX(K24:L24)</f>
        <v>0.18994300563611377</v>
      </c>
      <c r="N24" s="16">
        <f>MIN(H24:L24)</f>
        <v>0.17739612880362396</v>
      </c>
    </row>
    <row r="25" spans="1:14" x14ac:dyDescent="0.3">
      <c r="G25" t="s">
        <v>22</v>
      </c>
      <c r="H25" s="6">
        <f>IF(ISERROR(AVERAGEIF(B14:$L14,"&gt;0")),"",AVERAGEIF(B14:$L14,"&gt;0"))</f>
        <v>20.395643933953316</v>
      </c>
      <c r="I25" s="6">
        <f>IF(ISERROR(AVERAGEIF(E14:$L14,"&gt;0")),"",AVERAGEIF(E14:$L14,"&gt;0"))</f>
        <v>21.002113783639132</v>
      </c>
      <c r="J25" s="6">
        <f>IF(ISERROR(AVERAGEIF(G14:$L14,"&gt;0")),"",AVERAGEIF(G14:$L14,"&gt;0"))</f>
        <v>22.015431769382349</v>
      </c>
      <c r="K25" s="6">
        <f>IF(ISERROR(AVERAGEIF(I14:$L14,"&gt;0")),"",AVERAGEIF(I14:$L14,"&gt;0"))</f>
        <v>24.748075772999332</v>
      </c>
      <c r="L25" s="6">
        <f>L14</f>
        <v>30.570137145936389</v>
      </c>
      <c r="M25" s="1">
        <f>MAX(K25:L25)</f>
        <v>30.570137145936389</v>
      </c>
      <c r="N25" s="1">
        <f>MIN(H25:L25)</f>
        <v>20.395643933953316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FFFF00"/>
    <pageSetUpPr fitToPage="1"/>
  </sheetPr>
  <dimension ref="A1:K22"/>
  <sheetViews>
    <sheetView zoomScale="150" workbookViewId="0">
      <pane xSplit="1" ySplit="3" topLeftCell="D4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BAJAJ AUTO LTD</v>
      </c>
      <c r="E1" t="str">
        <f>UPDATE</f>
        <v/>
      </c>
    </row>
    <row r="3" spans="1:11" s="2" customFormat="1" x14ac:dyDescent="0.3">
      <c r="A3" s="11" t="s">
        <v>1</v>
      </c>
      <c r="B3" s="12">
        <f>'Data Sheet'!B41</f>
        <v>44834</v>
      </c>
      <c r="C3" s="12">
        <f>'Data Sheet'!C41</f>
        <v>44926</v>
      </c>
      <c r="D3" s="12">
        <f>'Data Sheet'!D41</f>
        <v>45016</v>
      </c>
      <c r="E3" s="12">
        <f>'Data Sheet'!E41</f>
        <v>45107</v>
      </c>
      <c r="F3" s="12">
        <f>'Data Sheet'!F41</f>
        <v>45199</v>
      </c>
      <c r="G3" s="12">
        <f>'Data Sheet'!G41</f>
        <v>45291</v>
      </c>
      <c r="H3" s="12">
        <f>'Data Sheet'!H41</f>
        <v>45382</v>
      </c>
      <c r="I3" s="12">
        <f>'Data Sheet'!I41</f>
        <v>45473</v>
      </c>
      <c r="J3" s="12">
        <f>'Data Sheet'!J41</f>
        <v>45565</v>
      </c>
      <c r="K3" s="12">
        <f>'Data Sheet'!K41</f>
        <v>45657</v>
      </c>
    </row>
    <row r="4" spans="1:11" s="2" customFormat="1" x14ac:dyDescent="0.3">
      <c r="A4" s="2" t="s">
        <v>5</v>
      </c>
      <c r="B4" s="1">
        <f>'Data Sheet'!B42</f>
        <v>10202.709999999999</v>
      </c>
      <c r="C4" s="1">
        <f>'Data Sheet'!C42</f>
        <v>9318.5400000000009</v>
      </c>
      <c r="D4" s="1">
        <f>'Data Sheet'!D42</f>
        <v>8929.23</v>
      </c>
      <c r="E4" s="1">
        <f>'Data Sheet'!E42</f>
        <v>10311.91</v>
      </c>
      <c r="F4" s="1">
        <f>'Data Sheet'!F42</f>
        <v>10838.24</v>
      </c>
      <c r="G4" s="1">
        <f>'Data Sheet'!G42</f>
        <v>12165.33</v>
      </c>
      <c r="H4" s="1">
        <f>'Data Sheet'!H42</f>
        <v>11554.95</v>
      </c>
      <c r="I4" s="1">
        <f>'Data Sheet'!I42</f>
        <v>11932.07</v>
      </c>
      <c r="J4" s="1">
        <f>'Data Sheet'!J42</f>
        <v>13247.28</v>
      </c>
      <c r="K4" s="1">
        <f>'Data Sheet'!K42</f>
        <v>13168.88</v>
      </c>
    </row>
    <row r="5" spans="1:11" x14ac:dyDescent="0.3">
      <c r="A5" t="s">
        <v>6</v>
      </c>
      <c r="B5" s="6">
        <f>'Data Sheet'!B43</f>
        <v>8453.07</v>
      </c>
      <c r="C5" s="6">
        <f>'Data Sheet'!C43</f>
        <v>7561.25</v>
      </c>
      <c r="D5" s="6">
        <f>'Data Sheet'!D43</f>
        <v>7272.02</v>
      </c>
      <c r="E5" s="6">
        <f>'Data Sheet'!E43</f>
        <v>8379.64</v>
      </c>
      <c r="F5" s="6">
        <f>'Data Sheet'!F43</f>
        <v>8708.11</v>
      </c>
      <c r="G5" s="6">
        <f>'Data Sheet'!G43</f>
        <v>9750.43</v>
      </c>
      <c r="H5" s="6">
        <f>'Data Sheet'!H43</f>
        <v>9270.69</v>
      </c>
      <c r="I5" s="6">
        <f>'Data Sheet'!I43</f>
        <v>9561.6299999999992</v>
      </c>
      <c r="J5" s="6">
        <f>'Data Sheet'!J43</f>
        <v>11174.05</v>
      </c>
      <c r="K5" s="6">
        <f>'Data Sheet'!K43</f>
        <v>10418.049999999999</v>
      </c>
    </row>
    <row r="6" spans="1:11" s="2" customFormat="1" x14ac:dyDescent="0.3">
      <c r="A6" s="2" t="s">
        <v>7</v>
      </c>
      <c r="B6" s="1">
        <f>'Data Sheet'!B50</f>
        <v>1749.64</v>
      </c>
      <c r="C6" s="1">
        <f>'Data Sheet'!C50</f>
        <v>1757.29</v>
      </c>
      <c r="D6" s="1">
        <f>'Data Sheet'!D50</f>
        <v>1657.21</v>
      </c>
      <c r="E6" s="1">
        <f>'Data Sheet'!E50</f>
        <v>1932.27</v>
      </c>
      <c r="F6" s="1">
        <f>'Data Sheet'!F50</f>
        <v>2130.13</v>
      </c>
      <c r="G6" s="1">
        <f>'Data Sheet'!G50</f>
        <v>2414.9</v>
      </c>
      <c r="H6" s="1">
        <f>'Data Sheet'!H50</f>
        <v>2284.2600000000002</v>
      </c>
      <c r="I6" s="1">
        <f>'Data Sheet'!I50</f>
        <v>2370.44</v>
      </c>
      <c r="J6" s="1">
        <f>'Data Sheet'!J50</f>
        <v>2073.23</v>
      </c>
      <c r="K6" s="1">
        <f>'Data Sheet'!K50</f>
        <v>2750.83</v>
      </c>
    </row>
    <row r="7" spans="1:11" x14ac:dyDescent="0.3">
      <c r="A7" t="s">
        <v>8</v>
      </c>
      <c r="B7" s="6">
        <f>'Data Sheet'!B44</f>
        <v>531.98</v>
      </c>
      <c r="C7" s="6">
        <f>'Data Sheet'!C44</f>
        <v>270.52999999999997</v>
      </c>
      <c r="D7" s="6">
        <f>'Data Sheet'!D44</f>
        <v>594.66</v>
      </c>
      <c r="E7" s="6">
        <f>'Data Sheet'!E44</f>
        <v>351.1</v>
      </c>
      <c r="F7" s="6">
        <f>'Data Sheet'!F44</f>
        <v>552.25</v>
      </c>
      <c r="G7" s="6">
        <f>'Data Sheet'!G44</f>
        <v>356.33</v>
      </c>
      <c r="H7" s="6">
        <f>'Data Sheet'!H44</f>
        <v>443.93</v>
      </c>
      <c r="I7" s="6">
        <f>'Data Sheet'!I44</f>
        <v>335.32</v>
      </c>
      <c r="J7" s="6">
        <f>'Data Sheet'!J44</f>
        <v>399.33</v>
      </c>
      <c r="K7" s="6">
        <f>'Data Sheet'!K44</f>
        <v>347.53</v>
      </c>
    </row>
    <row r="8" spans="1:11" x14ac:dyDescent="0.3">
      <c r="A8" t="s">
        <v>9</v>
      </c>
      <c r="B8" s="6">
        <f>'Data Sheet'!B45</f>
        <v>67.48</v>
      </c>
      <c r="C8" s="6">
        <f>'Data Sheet'!C45</f>
        <v>74.819999999999993</v>
      </c>
      <c r="D8" s="6">
        <f>'Data Sheet'!D45</f>
        <v>75.989999999999995</v>
      </c>
      <c r="E8" s="6">
        <f>'Data Sheet'!E45</f>
        <v>87.23</v>
      </c>
      <c r="F8" s="6">
        <f>'Data Sheet'!F45</f>
        <v>91.82</v>
      </c>
      <c r="G8" s="6">
        <f>'Data Sheet'!G45</f>
        <v>92.91</v>
      </c>
      <c r="H8" s="6">
        <f>'Data Sheet'!H45</f>
        <v>92.81</v>
      </c>
      <c r="I8" s="6">
        <f>'Data Sheet'!I45</f>
        <v>95.01</v>
      </c>
      <c r="J8" s="6">
        <f>'Data Sheet'!J45</f>
        <v>98.27</v>
      </c>
      <c r="K8" s="6">
        <f>'Data Sheet'!K45</f>
        <v>101.72</v>
      </c>
    </row>
    <row r="9" spans="1:11" x14ac:dyDescent="0.3">
      <c r="A9" t="s">
        <v>10</v>
      </c>
      <c r="B9" s="6">
        <f>'Data Sheet'!B46</f>
        <v>10.92</v>
      </c>
      <c r="C9" s="6">
        <f>'Data Sheet'!C46</f>
        <v>8.48</v>
      </c>
      <c r="D9" s="6">
        <f>'Data Sheet'!D46</f>
        <v>15.77</v>
      </c>
      <c r="E9" s="6">
        <f>'Data Sheet'!E46</f>
        <v>12.09</v>
      </c>
      <c r="F9" s="6">
        <f>'Data Sheet'!F46</f>
        <v>6.54</v>
      </c>
      <c r="G9" s="6">
        <f>'Data Sheet'!G46</f>
        <v>12.1</v>
      </c>
      <c r="H9" s="6">
        <f>'Data Sheet'!H46</f>
        <v>29.63</v>
      </c>
      <c r="I9" s="6">
        <f>'Data Sheet'!I46</f>
        <v>46.97</v>
      </c>
      <c r="J9" s="6">
        <f>'Data Sheet'!J46</f>
        <v>75.2</v>
      </c>
      <c r="K9" s="6">
        <f>'Data Sheet'!K46</f>
        <v>120.21</v>
      </c>
    </row>
    <row r="10" spans="1:11" x14ac:dyDescent="0.3">
      <c r="A10" t="s">
        <v>11</v>
      </c>
      <c r="B10" s="6">
        <f>'Data Sheet'!B47</f>
        <v>2203.2199999999998</v>
      </c>
      <c r="C10" s="6">
        <f>'Data Sheet'!C47</f>
        <v>1944.52</v>
      </c>
      <c r="D10" s="6">
        <f>'Data Sheet'!D47</f>
        <v>2160.11</v>
      </c>
      <c r="E10" s="6">
        <f>'Data Sheet'!E47</f>
        <v>2184.0500000000002</v>
      </c>
      <c r="F10" s="6">
        <f>'Data Sheet'!F47</f>
        <v>2584.02</v>
      </c>
      <c r="G10" s="6">
        <f>'Data Sheet'!G47</f>
        <v>2666.22</v>
      </c>
      <c r="H10" s="6">
        <f>'Data Sheet'!H47</f>
        <v>2605.75</v>
      </c>
      <c r="I10" s="6">
        <f>'Data Sheet'!I47</f>
        <v>2563.7800000000002</v>
      </c>
      <c r="J10" s="6">
        <f>'Data Sheet'!J47</f>
        <v>2299.09</v>
      </c>
      <c r="K10" s="6">
        <f>'Data Sheet'!K47</f>
        <v>2876.43</v>
      </c>
    </row>
    <row r="11" spans="1:11" x14ac:dyDescent="0.3">
      <c r="A11" t="s">
        <v>12</v>
      </c>
      <c r="B11" s="6">
        <f>'Data Sheet'!B48</f>
        <v>483.78</v>
      </c>
      <c r="C11" s="6">
        <f>'Data Sheet'!C48</f>
        <v>471.82</v>
      </c>
      <c r="D11" s="6">
        <f>'Data Sheet'!D48</f>
        <v>455.37</v>
      </c>
      <c r="E11" s="6">
        <f>'Data Sheet'!E48</f>
        <v>539.91</v>
      </c>
      <c r="F11" s="6">
        <f>'Data Sheet'!F48</f>
        <v>563.97</v>
      </c>
      <c r="G11" s="6">
        <f>'Data Sheet'!G48</f>
        <v>633.6</v>
      </c>
      <c r="H11" s="6">
        <f>'Data Sheet'!H48</f>
        <v>594.32000000000005</v>
      </c>
      <c r="I11" s="6">
        <f>'Data Sheet'!I48</f>
        <v>621.99</v>
      </c>
      <c r="J11" s="6">
        <f>'Data Sheet'!J48</f>
        <v>913.65</v>
      </c>
      <c r="K11" s="6">
        <f>'Data Sheet'!K48</f>
        <v>680.78</v>
      </c>
    </row>
    <row r="12" spans="1:11" s="2" customFormat="1" x14ac:dyDescent="0.3">
      <c r="A12" s="2" t="s">
        <v>13</v>
      </c>
      <c r="B12" s="1">
        <f>'Data Sheet'!B49</f>
        <v>1719.44</v>
      </c>
      <c r="C12" s="1">
        <f>'Data Sheet'!C49</f>
        <v>1472.7</v>
      </c>
      <c r="D12" s="1">
        <f>'Data Sheet'!D49</f>
        <v>1704.74</v>
      </c>
      <c r="E12" s="1">
        <f>'Data Sheet'!E49</f>
        <v>1644.14</v>
      </c>
      <c r="F12" s="1">
        <f>'Data Sheet'!F49</f>
        <v>2020.05</v>
      </c>
      <c r="G12" s="1">
        <f>'Data Sheet'!G49</f>
        <v>2032.62</v>
      </c>
      <c r="H12" s="1">
        <f>'Data Sheet'!H49</f>
        <v>2011.43</v>
      </c>
      <c r="I12" s="1">
        <f>'Data Sheet'!I49</f>
        <v>1941.79</v>
      </c>
      <c r="J12" s="1">
        <f>'Data Sheet'!J49</f>
        <v>1385.44</v>
      </c>
      <c r="K12" s="1">
        <f>'Data Sheet'!K49</f>
        <v>2195.65</v>
      </c>
    </row>
    <row r="14" spans="1:11" s="2" customFormat="1" x14ac:dyDescent="0.3">
      <c r="A14" s="2" t="s">
        <v>17</v>
      </c>
      <c r="B14" s="10">
        <f>IF(B4&gt;0,B6/B4,"")</f>
        <v>0.17148777138622975</v>
      </c>
      <c r="C14" s="10">
        <f t="shared" ref="C14:K14" si="0">IF(C4&gt;0,C6/C4,"")</f>
        <v>0.18857997068210253</v>
      </c>
      <c r="D14" s="10">
        <f t="shared" si="0"/>
        <v>0.18559383059905502</v>
      </c>
      <c r="E14" s="10">
        <f t="shared" si="0"/>
        <v>0.18738235690575267</v>
      </c>
      <c r="F14" s="10">
        <f t="shared" si="0"/>
        <v>0.19653836785308318</v>
      </c>
      <c r="G14" s="10">
        <f t="shared" si="0"/>
        <v>0.19850674005555133</v>
      </c>
      <c r="H14" s="10">
        <f t="shared" si="0"/>
        <v>0.1976867056975582</v>
      </c>
      <c r="I14" s="10">
        <f t="shared" si="0"/>
        <v>0.19866125492056283</v>
      </c>
      <c r="J14" s="10">
        <f t="shared" si="0"/>
        <v>0.15650231594712272</v>
      </c>
      <c r="K14" s="10">
        <f t="shared" si="0"/>
        <v>0.20888868301632335</v>
      </c>
    </row>
    <row r="22" s="19" customFormat="1" x14ac:dyDescent="0.3"/>
  </sheetData>
  <printOptions gridLines="1"/>
  <pageMargins left="0.7" right="0.7" top="0.75" bottom="0.75" header="0.3" footer="0.3"/>
  <pageSetup paperSize="9" scale="83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FF00"/>
    <pageSetUpPr fitToPage="1"/>
  </sheetPr>
  <dimension ref="A1:K26"/>
  <sheetViews>
    <sheetView zoomScale="125" workbookViewId="0">
      <pane xSplit="1" ySplit="3" topLeftCell="D15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BAJAJ AUTO LTD</v>
      </c>
      <c r="E1" t="str">
        <f>UPDATE</f>
        <v/>
      </c>
      <c r="G1"/>
    </row>
    <row r="2" spans="1:11" x14ac:dyDescent="0.3">
      <c r="G2" s="2"/>
      <c r="H2" s="2"/>
    </row>
    <row r="3" spans="1:11" x14ac:dyDescent="0.3">
      <c r="A3" s="11" t="s">
        <v>1</v>
      </c>
      <c r="B3" s="12">
        <f>'Data Sheet'!B56</f>
        <v>42094</v>
      </c>
      <c r="C3" s="12">
        <f>'Data Sheet'!C56</f>
        <v>42460</v>
      </c>
      <c r="D3" s="12">
        <f>'Data Sheet'!D56</f>
        <v>42825</v>
      </c>
      <c r="E3" s="12">
        <f>'Data Sheet'!E56</f>
        <v>43190</v>
      </c>
      <c r="F3" s="12">
        <f>'Data Sheet'!F56</f>
        <v>43555</v>
      </c>
      <c r="G3" s="12">
        <f>'Data Sheet'!G56</f>
        <v>43921</v>
      </c>
      <c r="H3" s="12">
        <f>'Data Sheet'!H56</f>
        <v>44286</v>
      </c>
      <c r="I3" s="12">
        <f>'Data Sheet'!I56</f>
        <v>44651</v>
      </c>
      <c r="J3" s="12">
        <f>'Data Sheet'!J56</f>
        <v>45016</v>
      </c>
      <c r="K3" s="12">
        <f>'Data Sheet'!K56</f>
        <v>45382</v>
      </c>
    </row>
    <row r="4" spans="1:11" x14ac:dyDescent="0.3">
      <c r="A4" t="s">
        <v>23</v>
      </c>
      <c r="B4" s="14">
        <f>'Data Sheet'!B57</f>
        <v>289.37</v>
      </c>
      <c r="C4" s="14">
        <f>'Data Sheet'!C57</f>
        <v>289.37</v>
      </c>
      <c r="D4" s="14">
        <f>'Data Sheet'!D57</f>
        <v>289.37</v>
      </c>
      <c r="E4" s="14">
        <f>'Data Sheet'!E57</f>
        <v>289.37</v>
      </c>
      <c r="F4" s="14">
        <f>'Data Sheet'!F57</f>
        <v>289.37</v>
      </c>
      <c r="G4" s="14">
        <f>'Data Sheet'!G57</f>
        <v>289.37</v>
      </c>
      <c r="H4" s="14">
        <f>'Data Sheet'!H57</f>
        <v>289.37</v>
      </c>
      <c r="I4" s="14">
        <f>'Data Sheet'!I57</f>
        <v>289.37</v>
      </c>
      <c r="J4" s="14">
        <f>'Data Sheet'!J57</f>
        <v>282.95999999999998</v>
      </c>
      <c r="K4" s="14">
        <f>'Data Sheet'!K57</f>
        <v>279.18</v>
      </c>
    </row>
    <row r="5" spans="1:11" x14ac:dyDescent="0.3">
      <c r="A5" t="s">
        <v>24</v>
      </c>
      <c r="B5" s="14">
        <f>'Data Sheet'!B58</f>
        <v>10805.95</v>
      </c>
      <c r="C5" s="14">
        <f>'Data Sheet'!C58</f>
        <v>13730.94</v>
      </c>
      <c r="D5" s="14">
        <f>'Data Sheet'!D58</f>
        <v>17567.2</v>
      </c>
      <c r="E5" s="14">
        <f>'Data Sheet'!E58</f>
        <v>20135.87</v>
      </c>
      <c r="F5" s="14">
        <f>'Data Sheet'!F58</f>
        <v>22944.44</v>
      </c>
      <c r="G5" s="14">
        <f>'Data Sheet'!G58</f>
        <v>21372.71</v>
      </c>
      <c r="H5" s="14">
        <f>'Data Sheet'!H58</f>
        <v>26984.06</v>
      </c>
      <c r="I5" s="14">
        <f>'Data Sheet'!I58</f>
        <v>29570.28</v>
      </c>
      <c r="J5" s="14">
        <f>'Data Sheet'!J58</f>
        <v>29078.58</v>
      </c>
      <c r="K5" s="14">
        <f>'Data Sheet'!K58</f>
        <v>28683.23</v>
      </c>
    </row>
    <row r="6" spans="1:11" x14ac:dyDescent="0.3">
      <c r="A6" t="s">
        <v>57</v>
      </c>
      <c r="B6" s="14">
        <f>'Data Sheet'!B59</f>
        <v>112.35</v>
      </c>
      <c r="C6" s="14">
        <f>'Data Sheet'!C59</f>
        <v>117.86</v>
      </c>
      <c r="D6" s="14">
        <f>'Data Sheet'!D59</f>
        <v>119.9</v>
      </c>
      <c r="E6" s="14">
        <f>'Data Sheet'!E59</f>
        <v>120.77</v>
      </c>
      <c r="F6" s="14">
        <f>'Data Sheet'!F59</f>
        <v>124.52</v>
      </c>
      <c r="G6" s="14">
        <f>'Data Sheet'!G59</f>
        <v>125.59</v>
      </c>
      <c r="H6" s="14">
        <f>'Data Sheet'!H59</f>
        <v>121.46</v>
      </c>
      <c r="I6" s="14">
        <f>'Data Sheet'!I59</f>
        <v>122.77</v>
      </c>
      <c r="J6" s="14">
        <f>'Data Sheet'!J59</f>
        <v>124.23</v>
      </c>
      <c r="K6" s="14">
        <f>'Data Sheet'!K59</f>
        <v>1911.74</v>
      </c>
    </row>
    <row r="7" spans="1:11" x14ac:dyDescent="0.3">
      <c r="A7" t="s">
        <v>58</v>
      </c>
      <c r="B7" s="14">
        <f>'Data Sheet'!B60</f>
        <v>4757.93</v>
      </c>
      <c r="C7" s="14">
        <f>'Data Sheet'!C60</f>
        <v>3102.2</v>
      </c>
      <c r="D7" s="14">
        <f>'Data Sheet'!D60</f>
        <v>3661.15</v>
      </c>
      <c r="E7" s="14">
        <f>'Data Sheet'!E60</f>
        <v>4594.99</v>
      </c>
      <c r="F7" s="14">
        <f>'Data Sheet'!F60</f>
        <v>5476.08</v>
      </c>
      <c r="G7" s="14">
        <f>'Data Sheet'!G60</f>
        <v>4722.3500000000004</v>
      </c>
      <c r="H7" s="14">
        <f>'Data Sheet'!H60</f>
        <v>6206.82</v>
      </c>
      <c r="I7" s="14">
        <f>'Data Sheet'!I60</f>
        <v>5128.79</v>
      </c>
      <c r="J7" s="14">
        <f>'Data Sheet'!J60</f>
        <v>5650.68</v>
      </c>
      <c r="K7" s="14">
        <f>'Data Sheet'!K60</f>
        <v>8469.5400000000009</v>
      </c>
    </row>
    <row r="8" spans="1:11" s="2" customFormat="1" x14ac:dyDescent="0.3">
      <c r="A8" s="2" t="s">
        <v>25</v>
      </c>
      <c r="B8" s="15">
        <f>'Data Sheet'!B61</f>
        <v>15965.6</v>
      </c>
      <c r="C8" s="15">
        <f>'Data Sheet'!C61</f>
        <v>17240.37</v>
      </c>
      <c r="D8" s="15">
        <f>'Data Sheet'!D61</f>
        <v>21637.62</v>
      </c>
      <c r="E8" s="15">
        <f>'Data Sheet'!E61</f>
        <v>25141</v>
      </c>
      <c r="F8" s="15">
        <f>'Data Sheet'!F61</f>
        <v>28834.41</v>
      </c>
      <c r="G8" s="15">
        <f>'Data Sheet'!G61</f>
        <v>26510.02</v>
      </c>
      <c r="H8" s="15">
        <f>'Data Sheet'!H61</f>
        <v>33601.71</v>
      </c>
      <c r="I8" s="15">
        <f>'Data Sheet'!I61</f>
        <v>35111.21</v>
      </c>
      <c r="J8" s="15">
        <f>'Data Sheet'!J61</f>
        <v>35136.449999999997</v>
      </c>
      <c r="K8" s="15">
        <f>'Data Sheet'!K61</f>
        <v>39343.69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26</v>
      </c>
      <c r="B10" s="14">
        <f>'Data Sheet'!B62</f>
        <v>2448.0300000000002</v>
      </c>
      <c r="C10" s="14">
        <f>'Data Sheet'!C62</f>
        <v>2025.67</v>
      </c>
      <c r="D10" s="14">
        <f>'Data Sheet'!D62</f>
        <v>2001.79</v>
      </c>
      <c r="E10" s="14">
        <f>'Data Sheet'!E62</f>
        <v>1878.33</v>
      </c>
      <c r="F10" s="14">
        <f>'Data Sheet'!F62</f>
        <v>1763.94</v>
      </c>
      <c r="G10" s="14">
        <f>'Data Sheet'!G62</f>
        <v>1699.02</v>
      </c>
      <c r="H10" s="14">
        <f>'Data Sheet'!H62</f>
        <v>1667.55</v>
      </c>
      <c r="I10" s="14">
        <f>'Data Sheet'!I62</f>
        <v>1836.05</v>
      </c>
      <c r="J10" s="14">
        <f>'Data Sheet'!J62</f>
        <v>2842.24</v>
      </c>
      <c r="K10" s="14">
        <f>'Data Sheet'!K62</f>
        <v>3217.37</v>
      </c>
    </row>
    <row r="11" spans="1:11" x14ac:dyDescent="0.3">
      <c r="A11" t="s">
        <v>27</v>
      </c>
      <c r="B11" s="14">
        <f>'Data Sheet'!B63</f>
        <v>254.94</v>
      </c>
      <c r="C11" s="14">
        <f>'Data Sheet'!C63</f>
        <v>52.24</v>
      </c>
      <c r="D11" s="14">
        <f>'Data Sheet'!D63</f>
        <v>42.17</v>
      </c>
      <c r="E11" s="14">
        <f>'Data Sheet'!E63</f>
        <v>56.47</v>
      </c>
      <c r="F11" s="14">
        <f>'Data Sheet'!F63</f>
        <v>48.02</v>
      </c>
      <c r="G11" s="14">
        <f>'Data Sheet'!G63</f>
        <v>60.19</v>
      </c>
      <c r="H11" s="14">
        <f>'Data Sheet'!H63</f>
        <v>15.98</v>
      </c>
      <c r="I11" s="14">
        <f>'Data Sheet'!I63</f>
        <v>77.209999999999994</v>
      </c>
      <c r="J11" s="14">
        <f>'Data Sheet'!J63</f>
        <v>85.27</v>
      </c>
      <c r="K11" s="14">
        <f>'Data Sheet'!K63</f>
        <v>35.1</v>
      </c>
    </row>
    <row r="12" spans="1:11" x14ac:dyDescent="0.3">
      <c r="A12" t="s">
        <v>28</v>
      </c>
      <c r="B12" s="14">
        <f>'Data Sheet'!B64</f>
        <v>8985.25</v>
      </c>
      <c r="C12" s="14">
        <f>'Data Sheet'!C64</f>
        <v>11067.23</v>
      </c>
      <c r="D12" s="14">
        <f>'Data Sheet'!D64</f>
        <v>15477.04</v>
      </c>
      <c r="E12" s="14">
        <f>'Data Sheet'!E64</f>
        <v>18894.57</v>
      </c>
      <c r="F12" s="14">
        <f>'Data Sheet'!F64</f>
        <v>20602.849999999999</v>
      </c>
      <c r="G12" s="14">
        <f>'Data Sheet'!G64</f>
        <v>19913.580000000002</v>
      </c>
      <c r="H12" s="14">
        <f>'Data Sheet'!H64</f>
        <v>24686.65</v>
      </c>
      <c r="I12" s="14">
        <f>'Data Sheet'!I64</f>
        <v>26634.12</v>
      </c>
      <c r="J12" s="14">
        <f>'Data Sheet'!J64</f>
        <v>26182.91</v>
      </c>
      <c r="K12" s="14">
        <f>'Data Sheet'!K64</f>
        <v>28086.68</v>
      </c>
    </row>
    <row r="13" spans="1:11" x14ac:dyDescent="0.3">
      <c r="A13" t="s">
        <v>59</v>
      </c>
      <c r="B13" s="14">
        <f>'Data Sheet'!B65</f>
        <v>4277.38</v>
      </c>
      <c r="C13" s="14">
        <f>'Data Sheet'!C65</f>
        <v>4095.23</v>
      </c>
      <c r="D13" s="14">
        <f>'Data Sheet'!D65</f>
        <v>4116.62</v>
      </c>
      <c r="E13" s="14">
        <f>'Data Sheet'!E65</f>
        <v>4311.63</v>
      </c>
      <c r="F13" s="14">
        <f>'Data Sheet'!F65</f>
        <v>6419.6</v>
      </c>
      <c r="G13" s="14">
        <f>'Data Sheet'!G65</f>
        <v>4837.2299999999996</v>
      </c>
      <c r="H13" s="14">
        <f>'Data Sheet'!H65</f>
        <v>7231.53</v>
      </c>
      <c r="I13" s="14">
        <f>'Data Sheet'!I65</f>
        <v>6563.83</v>
      </c>
      <c r="J13" s="14">
        <f>'Data Sheet'!J65</f>
        <v>6026.03</v>
      </c>
      <c r="K13" s="14">
        <f>'Data Sheet'!K65</f>
        <v>8004.54</v>
      </c>
    </row>
    <row r="14" spans="1:11" s="2" customFormat="1" x14ac:dyDescent="0.3">
      <c r="A14" s="2" t="s">
        <v>25</v>
      </c>
      <c r="B14" s="14">
        <f>'Data Sheet'!B66</f>
        <v>15965.6</v>
      </c>
      <c r="C14" s="14">
        <f>'Data Sheet'!C66</f>
        <v>17240.37</v>
      </c>
      <c r="D14" s="14">
        <f>'Data Sheet'!D66</f>
        <v>21637.62</v>
      </c>
      <c r="E14" s="14">
        <f>'Data Sheet'!E66</f>
        <v>25141</v>
      </c>
      <c r="F14" s="14">
        <f>'Data Sheet'!F66</f>
        <v>28834.41</v>
      </c>
      <c r="G14" s="14">
        <f>'Data Sheet'!G66</f>
        <v>26510.02</v>
      </c>
      <c r="H14" s="14">
        <f>'Data Sheet'!H66</f>
        <v>33601.71</v>
      </c>
      <c r="I14" s="14">
        <f>'Data Sheet'!I66</f>
        <v>35111.21</v>
      </c>
      <c r="J14" s="14">
        <f>'Data Sheet'!J66</f>
        <v>35136.449999999997</v>
      </c>
      <c r="K14" s="14">
        <f>'Data Sheet'!K66</f>
        <v>39343.69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29</v>
      </c>
      <c r="B16" s="4">
        <f>B13-B7</f>
        <v>-480.55000000000018</v>
      </c>
      <c r="C16" s="4">
        <f t="shared" ref="C16:K16" si="0">C13-C7</f>
        <v>993.0300000000002</v>
      </c>
      <c r="D16" s="4">
        <f t="shared" si="0"/>
        <v>455.4699999999998</v>
      </c>
      <c r="E16" s="4">
        <f t="shared" si="0"/>
        <v>-283.35999999999967</v>
      </c>
      <c r="F16" s="4">
        <f t="shared" si="0"/>
        <v>943.52000000000044</v>
      </c>
      <c r="G16" s="4">
        <f t="shared" si="0"/>
        <v>114.8799999999992</v>
      </c>
      <c r="H16" s="4">
        <f t="shared" si="0"/>
        <v>1024.71</v>
      </c>
      <c r="I16" s="4">
        <f t="shared" si="0"/>
        <v>1435.04</v>
      </c>
      <c r="J16" s="4">
        <f t="shared" si="0"/>
        <v>375.34999999999945</v>
      </c>
      <c r="K16" s="4">
        <f t="shared" si="0"/>
        <v>-465.00000000000091</v>
      </c>
    </row>
    <row r="17" spans="1:11" x14ac:dyDescent="0.3">
      <c r="A17" t="s">
        <v>42</v>
      </c>
      <c r="B17" s="4">
        <f>'Data Sheet'!B67</f>
        <v>716.96</v>
      </c>
      <c r="C17" s="4">
        <f>'Data Sheet'!C67</f>
        <v>717.93</v>
      </c>
      <c r="D17" s="4">
        <f>'Data Sheet'!D67</f>
        <v>953.29</v>
      </c>
      <c r="E17" s="4">
        <f>'Data Sheet'!E67</f>
        <v>1491.87</v>
      </c>
      <c r="F17" s="4">
        <f>'Data Sheet'!F67</f>
        <v>2559.69</v>
      </c>
      <c r="G17" s="4">
        <f>'Data Sheet'!G67</f>
        <v>1725.1</v>
      </c>
      <c r="H17" s="4">
        <f>'Data Sheet'!H67</f>
        <v>2716.85</v>
      </c>
      <c r="I17" s="4">
        <f>'Data Sheet'!I67</f>
        <v>1516.38</v>
      </c>
      <c r="J17" s="4">
        <f>'Data Sheet'!J67</f>
        <v>1752.43</v>
      </c>
      <c r="K17" s="4">
        <f>'Data Sheet'!K67</f>
        <v>2075.5300000000002</v>
      </c>
    </row>
    <row r="18" spans="1:11" x14ac:dyDescent="0.3">
      <c r="A18" t="s">
        <v>43</v>
      </c>
      <c r="B18" s="4">
        <f>'Data Sheet'!B68</f>
        <v>814.15</v>
      </c>
      <c r="C18" s="4">
        <f>'Data Sheet'!C68</f>
        <v>719.07</v>
      </c>
      <c r="D18" s="4">
        <f>'Data Sheet'!D68</f>
        <v>728.38</v>
      </c>
      <c r="E18" s="4">
        <f>'Data Sheet'!E68</f>
        <v>742.58</v>
      </c>
      <c r="F18" s="4">
        <f>'Data Sheet'!F68</f>
        <v>961.51</v>
      </c>
      <c r="G18" s="4">
        <f>'Data Sheet'!G68</f>
        <v>1063.5</v>
      </c>
      <c r="H18" s="4">
        <f>'Data Sheet'!H68</f>
        <v>1493.89</v>
      </c>
      <c r="I18" s="4">
        <f>'Data Sheet'!I68</f>
        <v>1230.51</v>
      </c>
      <c r="J18" s="4">
        <f>'Data Sheet'!J68</f>
        <v>1563.55</v>
      </c>
      <c r="K18" s="4">
        <f>'Data Sheet'!K68</f>
        <v>1688.75</v>
      </c>
    </row>
    <row r="20" spans="1:11" x14ac:dyDescent="0.3">
      <c r="A20" t="s">
        <v>44</v>
      </c>
      <c r="B20" s="4">
        <f>IF('Profit &amp; Loss'!B4&gt;0,'Balance Sheet'!B17/('Profit &amp; Loss'!B4/365),0)</f>
        <v>12.117854510026193</v>
      </c>
      <c r="C20" s="4">
        <f>IF('Profit &amp; Loss'!C4&gt;0,'Balance Sheet'!C17/('Profit &amp; Loss'!C4/365),0)</f>
        <v>11.608401196259894</v>
      </c>
      <c r="D20" s="4">
        <f>IF('Profit &amp; Loss'!D4&gt;0,'Balance Sheet'!D17/('Profit &amp; Loss'!D4/365),0)</f>
        <v>15.994269289607036</v>
      </c>
      <c r="E20" s="4">
        <f>IF('Profit &amp; Loss'!E4&gt;0,'Balance Sheet'!E17/('Profit &amp; Loss'!E4/365),0)</f>
        <v>21.599923125530296</v>
      </c>
      <c r="F20" s="4">
        <f>IF('Profit &amp; Loss'!F4&gt;0,'Balance Sheet'!F17/('Profit &amp; Loss'!F4/365),0)</f>
        <v>30.776014135490811</v>
      </c>
      <c r="G20" s="4">
        <f>IF('Profit &amp; Loss'!G4&gt;0,'Balance Sheet'!G17/('Profit &amp; Loss'!G4/365),0)</f>
        <v>21.045785822555494</v>
      </c>
      <c r="H20" s="4">
        <f>IF('Profit &amp; Loss'!H4&gt;0,'Balance Sheet'!H17/('Profit &amp; Loss'!H4/365),0)</f>
        <v>35.746634593894683</v>
      </c>
      <c r="I20" s="4">
        <f>IF('Profit &amp; Loss'!I4&gt;0,'Balance Sheet'!I17/('Profit &amp; Loss'!I4/365),0)</f>
        <v>16.698854809711719</v>
      </c>
      <c r="J20" s="4">
        <f>IF('Profit &amp; Loss'!J4&gt;0,'Balance Sheet'!J17/('Profit &amp; Loss'!J4/365),0)</f>
        <v>17.545749077365262</v>
      </c>
      <c r="K20" s="4">
        <f>IF('Profit &amp; Loss'!K4&gt;0,'Balance Sheet'!K17/('Profit &amp; Loss'!K4/365),0)</f>
        <v>16.883467575416596</v>
      </c>
    </row>
    <row r="21" spans="1:11" x14ac:dyDescent="0.3">
      <c r="A21" t="s">
        <v>45</v>
      </c>
      <c r="B21" s="4">
        <f>IF('Balance Sheet'!B18&gt;0,'Profit &amp; Loss'!B4/'Balance Sheet'!B18,0)</f>
        <v>26.525136645581281</v>
      </c>
      <c r="C21" s="4">
        <f>IF('Balance Sheet'!C18&gt;0,'Profit &amp; Loss'!C4/'Balance Sheet'!C18,0)</f>
        <v>31.392896380046444</v>
      </c>
      <c r="D21" s="4">
        <f>IF('Balance Sheet'!D18&gt;0,'Profit &amp; Loss'!D4/'Balance Sheet'!D18,0)</f>
        <v>29.867267085861776</v>
      </c>
      <c r="E21" s="4">
        <f>IF('Balance Sheet'!E18&gt;0,'Profit &amp; Loss'!E4/'Balance Sheet'!E18,0)</f>
        <v>33.949109860217078</v>
      </c>
      <c r="F21" s="4">
        <f>IF('Balance Sheet'!F18&gt;0,'Profit &amp; Loss'!F4/'Balance Sheet'!F18,0)</f>
        <v>31.572869756944808</v>
      </c>
      <c r="G21" s="4">
        <f>IF('Balance Sheet'!G18&gt;0,'Profit &amp; Loss'!G4/'Balance Sheet'!G18,0)</f>
        <v>28.132251998119418</v>
      </c>
      <c r="H21" s="4">
        <f>IF('Balance Sheet'!H18&gt;0,'Profit &amp; Loss'!H4/'Balance Sheet'!H18,0)</f>
        <v>18.569693886430727</v>
      </c>
      <c r="I21" s="4">
        <f>IF('Balance Sheet'!I18&gt;0,'Profit &amp; Loss'!I4/'Balance Sheet'!I18,0)</f>
        <v>26.935750217389536</v>
      </c>
      <c r="J21" s="4">
        <f>IF('Balance Sheet'!J18&gt;0,'Profit &amp; Loss'!J4/'Balance Sheet'!J18,0)</f>
        <v>23.315774999200535</v>
      </c>
      <c r="K21" s="4">
        <f>IF('Balance Sheet'!K18&gt;0,'Profit &amp; Loss'!K4/'Balance Sheet'!K18,0)</f>
        <v>26.57020281273131</v>
      </c>
    </row>
    <row r="23" spans="1:11" s="2" customFormat="1" x14ac:dyDescent="0.3">
      <c r="A23" s="2" t="s">
        <v>48</v>
      </c>
      <c r="B23" s="10">
        <f>IF(SUM('Balance Sheet'!B4:B5)&gt;0,'Profit &amp; Loss'!B12/SUM('Balance Sheet'!B4:B5),"")</f>
        <v>0.27269425307246659</v>
      </c>
      <c r="C23" s="10">
        <f>IF(SUM('Balance Sheet'!C4:C5)&gt;0,'Profit &amp; Loss'!C12/SUM('Balance Sheet'!C4:C5),"")</f>
        <v>0.28966834542174885</v>
      </c>
      <c r="D23" s="10">
        <f>IF(SUM('Balance Sheet'!D4:D5)&gt;0,'Profit &amp; Loss'!D12/SUM('Balance Sheet'!D4:D5),"")</f>
        <v>0.22845876895730813</v>
      </c>
      <c r="E23" s="10">
        <f>IF(SUM('Balance Sheet'!E4:E5)&gt;0,'Profit &amp; Loss'!E12/SUM('Balance Sheet'!E4:E5),"")</f>
        <v>0.206555712442057</v>
      </c>
      <c r="F23" s="10">
        <f>IF(SUM('Balance Sheet'!F4:F5)&gt;0,'Profit &amp; Loss'!F12/SUM('Balance Sheet'!F4:F5),"")</f>
        <v>0.21208790120948739</v>
      </c>
      <c r="G23" s="10">
        <f>IF(SUM('Balance Sheet'!G4:G5)&gt;0,'Profit &amp; Loss'!G12/SUM('Balance Sheet'!G4:G5),"")</f>
        <v>0.24060062560935977</v>
      </c>
      <c r="H23" s="10">
        <f>IF(SUM('Balance Sheet'!H4:H5)&gt;0,'Profit &amp; Loss'!H12/SUM('Balance Sheet'!H4:H5),"")</f>
        <v>0.17808614464700628</v>
      </c>
      <c r="I23" s="10">
        <f>IF(SUM('Balance Sheet'!I4:I5)&gt;0,'Profit &amp; Loss'!I12/SUM('Balance Sheet'!I4:I5),"")</f>
        <v>0.20649505268815946</v>
      </c>
      <c r="J23" s="10">
        <f>IF(SUM('Balance Sheet'!J4:J5)&gt;0,'Profit &amp; Loss'!J12/SUM('Balance Sheet'!J4:J5),"")</f>
        <v>0.206399596206466</v>
      </c>
      <c r="K23" s="10">
        <f>IF(SUM('Balance Sheet'!K4:K5)&gt;0,'Profit &amp; Loss'!K12/SUM('Balance Sheet'!K4:K5),"")</f>
        <v>0.26614636005774378</v>
      </c>
    </row>
    <row r="24" spans="1:11" s="2" customFormat="1" x14ac:dyDescent="0.3">
      <c r="A24" s="2" t="s">
        <v>49</v>
      </c>
      <c r="B24" s="10"/>
      <c r="C24" s="10">
        <f>IF((B4+B5+B6+C4+C5+C6)&gt;0,('Profit &amp; Loss'!C10+'Profit &amp; Loss'!C9)*2/(B4+B5+B6+C4+C5+C6),"")</f>
        <v>0.44819504897056084</v>
      </c>
      <c r="D24" s="10">
        <f>IF((C4+C5+C6+D4+D5+D6)&gt;0,('Profit &amp; Loss'!D10+'Profit &amp; Loss'!D9)*2/(C4+C5+C6+D4+D5+D6),"")</f>
        <v>0.34806244130402825</v>
      </c>
      <c r="E24" s="10">
        <f>IF((D4+D5+D6+E4+E5+E6)&gt;0,('Profit &amp; Loss'!E10+'Profit &amp; Loss'!E9)*2/(D4+D5+D6+E4+E5+E6),"")</f>
        <v>0.3081172344044309</v>
      </c>
      <c r="F24" s="10">
        <f>IF((E4+E5+E6+F4+F5+F6)&gt;0,('Profit &amp; Loss'!F10+'Profit &amp; Loss'!F9)*2/(E4+E5+E6+F4+F5+F6),"")</f>
        <v>0.31705567148942454</v>
      </c>
      <c r="G24" s="10">
        <f>IF((F4+F5+F6+G4+G5+G6)&gt;0,('Profit &amp; Loss'!G10+'Profit &amp; Loss'!G9)*2/(F4+F5+F6+G4+G5+G6),"")</f>
        <v>0.29660612235857003</v>
      </c>
      <c r="H24" s="10">
        <f>IF((G4+G5+G6+H4+H5+H6)&gt;0,('Profit &amp; Loss'!H10+'Profit &amp; Loss'!H9)*2/(G4+G5+G6+H4+H5+H6),"")</f>
        <v>0.25407746160427602</v>
      </c>
      <c r="I24" s="10">
        <f>IF((H4+H5+H6+I4+I5+I6)&gt;0,('Profit &amp; Loss'!I10+'Profit &amp; Loss'!I9)*2/(H4+H5+H6+I4+I5+I6),"")</f>
        <v>0.26701635193424028</v>
      </c>
      <c r="J24" s="10">
        <f>IF((I4+I5+I6+J4+J5+J6)&gt;0,('Profit &amp; Loss'!J10+'Profit &amp; Loss'!J9)*2/(I4+I5+I6+J4+J5+J6),"")</f>
        <v>0.26506574355130025</v>
      </c>
      <c r="K24" s="10">
        <f>IF((J4+J5+J6+K4+K5+K6)&gt;0,('Profit &amp; Loss'!K10+'Profit &amp; Loss'!K9)*2/(J4+J5+J6+K4+K5+K6),"")</f>
        <v>0.33467241175932644</v>
      </c>
    </row>
    <row r="26" spans="1:11" x14ac:dyDescent="0.3">
      <c r="C26" s="97">
        <f t="shared" ref="C26:E26" si="1">C16-B16</f>
        <v>1473.5800000000004</v>
      </c>
      <c r="D26" s="97">
        <f t="shared" si="1"/>
        <v>-537.5600000000004</v>
      </c>
      <c r="E26" s="97">
        <f t="shared" si="1"/>
        <v>-738.82999999999947</v>
      </c>
      <c r="F26" s="97">
        <f t="shared" ref="F26:H26" si="2">F16-E16</f>
        <v>1226.8800000000001</v>
      </c>
      <c r="G26" s="97">
        <f t="shared" si="2"/>
        <v>-828.64000000000124</v>
      </c>
      <c r="H26" s="97">
        <f t="shared" si="2"/>
        <v>909.83000000000084</v>
      </c>
      <c r="I26" s="97">
        <f>I16-H16</f>
        <v>410.32999999999993</v>
      </c>
      <c r="J26" s="97">
        <f t="shared" ref="J26:K26" si="3">J16-I16</f>
        <v>-1059.6900000000005</v>
      </c>
      <c r="K26" s="97">
        <f t="shared" si="3"/>
        <v>-840.35000000000036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BAJAJ AUTO LTD</v>
      </c>
      <c r="E1" t="str">
        <f>UPDATE</f>
        <v/>
      </c>
      <c r="F1"/>
    </row>
    <row r="3" spans="1:11" s="2" customFormat="1" x14ac:dyDescent="0.3">
      <c r="A3" s="11" t="s">
        <v>1</v>
      </c>
      <c r="B3" s="12">
        <f>'Data Sheet'!B81</f>
        <v>42094</v>
      </c>
      <c r="C3" s="12">
        <f>'Data Sheet'!C81</f>
        <v>42460</v>
      </c>
      <c r="D3" s="12">
        <f>'Data Sheet'!D81</f>
        <v>42825</v>
      </c>
      <c r="E3" s="12">
        <f>'Data Sheet'!E81</f>
        <v>43190</v>
      </c>
      <c r="F3" s="12">
        <f>'Data Sheet'!F81</f>
        <v>43555</v>
      </c>
      <c r="G3" s="12">
        <f>'Data Sheet'!G81</f>
        <v>43921</v>
      </c>
      <c r="H3" s="12">
        <f>'Data Sheet'!H81</f>
        <v>44286</v>
      </c>
      <c r="I3" s="12">
        <f>'Data Sheet'!I81</f>
        <v>44651</v>
      </c>
      <c r="J3" s="12">
        <f>'Data Sheet'!J81</f>
        <v>45016</v>
      </c>
      <c r="K3" s="12">
        <f>'Data Sheet'!K81</f>
        <v>45382</v>
      </c>
    </row>
    <row r="4" spans="1:11" s="2" customFormat="1" x14ac:dyDescent="0.3">
      <c r="A4" s="2" t="s">
        <v>31</v>
      </c>
      <c r="B4" s="1">
        <f>'Data Sheet'!B82</f>
        <v>2113.8000000000002</v>
      </c>
      <c r="C4" s="1">
        <f>'Data Sheet'!C82</f>
        <v>3689.85</v>
      </c>
      <c r="D4" s="1">
        <f>'Data Sheet'!D82</f>
        <v>3267.36</v>
      </c>
      <c r="E4" s="1">
        <f>'Data Sheet'!E82</f>
        <v>4327.84</v>
      </c>
      <c r="F4" s="1">
        <f>'Data Sheet'!F82</f>
        <v>2486.86</v>
      </c>
      <c r="G4" s="1">
        <f>'Data Sheet'!G82</f>
        <v>3850.44</v>
      </c>
      <c r="H4" s="1">
        <f>'Data Sheet'!H82</f>
        <v>3119.88</v>
      </c>
      <c r="I4" s="1">
        <f>'Data Sheet'!I82</f>
        <v>4197.21</v>
      </c>
      <c r="J4" s="1">
        <f>'Data Sheet'!J82</f>
        <v>5277.42</v>
      </c>
      <c r="K4" s="1">
        <f>'Data Sheet'!K82</f>
        <v>6558.16</v>
      </c>
    </row>
    <row r="5" spans="1:11" x14ac:dyDescent="0.3">
      <c r="A5" t="s">
        <v>32</v>
      </c>
      <c r="B5" s="6">
        <f>'Data Sheet'!B83</f>
        <v>-379.66</v>
      </c>
      <c r="C5" s="6">
        <f>'Data Sheet'!C83</f>
        <v>-67.52</v>
      </c>
      <c r="D5" s="6">
        <f>'Data Sheet'!D83</f>
        <v>-3609.68</v>
      </c>
      <c r="E5" s="6">
        <f>'Data Sheet'!E83</f>
        <v>-1954.48</v>
      </c>
      <c r="F5" s="6">
        <f>'Data Sheet'!F83</f>
        <v>-272.77</v>
      </c>
      <c r="G5" s="6">
        <f>'Data Sheet'!G83</f>
        <v>1765.83</v>
      </c>
      <c r="H5" s="6">
        <f>'Data Sheet'!H83</f>
        <v>-2869.15</v>
      </c>
      <c r="I5" s="6">
        <f>'Data Sheet'!I83</f>
        <v>276.2</v>
      </c>
      <c r="J5" s="6">
        <f>'Data Sheet'!J83</f>
        <v>1211.21</v>
      </c>
      <c r="K5" s="6">
        <f>'Data Sheet'!K83</f>
        <v>-71.97</v>
      </c>
    </row>
    <row r="6" spans="1:11" x14ac:dyDescent="0.3">
      <c r="A6" t="s">
        <v>33</v>
      </c>
      <c r="B6" s="6">
        <f>'Data Sheet'!B84</f>
        <v>-1644.18</v>
      </c>
      <c r="C6" s="6">
        <f>'Data Sheet'!C84</f>
        <v>-3384.08</v>
      </c>
      <c r="D6" s="6">
        <f>'Data Sheet'!D84</f>
        <v>-190.09</v>
      </c>
      <c r="E6" s="6">
        <f>'Data Sheet'!E84</f>
        <v>-1885.26</v>
      </c>
      <c r="F6" s="6">
        <f>'Data Sheet'!F84</f>
        <v>-2074.0500000000002</v>
      </c>
      <c r="G6" s="6">
        <f>'Data Sheet'!G84</f>
        <v>-6246.51</v>
      </c>
      <c r="H6" s="6">
        <f>'Data Sheet'!H84</f>
        <v>-19.52</v>
      </c>
      <c r="I6" s="6">
        <f>'Data Sheet'!I84</f>
        <v>-4056.33</v>
      </c>
      <c r="J6" s="6">
        <f>'Data Sheet'!J84</f>
        <v>-7180.7</v>
      </c>
      <c r="K6" s="6">
        <f>'Data Sheet'!K84</f>
        <v>-6167.36</v>
      </c>
    </row>
    <row r="7" spans="1:11" s="2" customFormat="1" x14ac:dyDescent="0.3">
      <c r="A7" s="2" t="s">
        <v>34</v>
      </c>
      <c r="B7" s="1">
        <f>'Data Sheet'!B85</f>
        <v>89.96</v>
      </c>
      <c r="C7" s="1">
        <f>'Data Sheet'!C85</f>
        <v>238.25</v>
      </c>
      <c r="D7" s="1">
        <f>'Data Sheet'!D85</f>
        <v>-532.41</v>
      </c>
      <c r="E7" s="1">
        <f>'Data Sheet'!E85</f>
        <v>488.1</v>
      </c>
      <c r="F7" s="1">
        <f>'Data Sheet'!F85</f>
        <v>140.04</v>
      </c>
      <c r="G7" s="1">
        <f>'Data Sheet'!G85</f>
        <v>-630.24</v>
      </c>
      <c r="H7" s="1">
        <f>'Data Sheet'!H85</f>
        <v>231.21</v>
      </c>
      <c r="I7" s="1">
        <f>'Data Sheet'!I85</f>
        <v>417.08</v>
      </c>
      <c r="J7" s="1">
        <f>'Data Sheet'!J85</f>
        <v>-692.07</v>
      </c>
      <c r="K7" s="1">
        <f>'Data Sheet'!K85</f>
        <v>318.83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L93"/>
  <sheetViews>
    <sheetView zoomScale="120" zoomScaleNormal="120" zoomScalePageLayoutView="120" workbookViewId="0">
      <pane xSplit="1" ySplit="1" topLeftCell="B1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50</v>
      </c>
      <c r="E1" s="100" t="str">
        <f>IF(B2&lt;&gt;B3, "A NEW VERSION OF THE WORKSHEET IS AVAILABLE", "")</f>
        <v/>
      </c>
      <c r="F1" s="100"/>
      <c r="G1" s="100"/>
      <c r="H1" s="100"/>
      <c r="I1" s="100"/>
      <c r="J1" s="100"/>
      <c r="K1" s="100"/>
    </row>
    <row r="2" spans="1:11" x14ac:dyDescent="0.3">
      <c r="A2" s="1"/>
      <c r="E2" s="101"/>
      <c r="F2" s="101"/>
      <c r="G2" s="101"/>
      <c r="H2" s="101"/>
      <c r="I2" s="101"/>
      <c r="J2" s="101"/>
      <c r="K2" s="101"/>
    </row>
    <row r="3" spans="1:11" x14ac:dyDescent="0.3">
      <c r="A3" s="1"/>
    </row>
    <row r="4" spans="1:11" x14ac:dyDescent="0.3">
      <c r="A4" s="1"/>
    </row>
    <row r="5" spans="1:11" x14ac:dyDescent="0.3">
      <c r="A5" s="1"/>
    </row>
    <row r="6" spans="1:11" x14ac:dyDescent="0.3">
      <c r="A6" s="4" t="s">
        <v>40</v>
      </c>
      <c r="B6" s="4">
        <f>IF(B9&gt;0, B9/B8, 0)</f>
        <v>27.926631100333434</v>
      </c>
    </row>
    <row r="7" spans="1:11" x14ac:dyDescent="0.3">
      <c r="A7" s="4" t="s">
        <v>30</v>
      </c>
      <c r="B7">
        <v>10</v>
      </c>
    </row>
    <row r="8" spans="1:11" x14ac:dyDescent="0.3">
      <c r="A8" s="4" t="s">
        <v>41</v>
      </c>
      <c r="B8">
        <v>8247.5</v>
      </c>
    </row>
    <row r="9" spans="1:11" x14ac:dyDescent="0.3">
      <c r="A9" s="4" t="s">
        <v>65</v>
      </c>
      <c r="B9">
        <v>230324.89</v>
      </c>
    </row>
    <row r="15" spans="1:11" x14ac:dyDescent="0.3">
      <c r="A15" s="1" t="s">
        <v>35</v>
      </c>
    </row>
    <row r="16" spans="1:11" s="18" customFormat="1" x14ac:dyDescent="0.3">
      <c r="A16" s="17" t="s">
        <v>36</v>
      </c>
      <c r="B16" s="12">
        <v>42094</v>
      </c>
      <c r="C16" s="12">
        <v>42460</v>
      </c>
      <c r="D16" s="12">
        <v>42825</v>
      </c>
      <c r="E16" s="12">
        <v>43190</v>
      </c>
      <c r="F16" s="12">
        <v>43555</v>
      </c>
      <c r="G16" s="12">
        <v>43921</v>
      </c>
      <c r="H16" s="12">
        <v>44286</v>
      </c>
      <c r="I16" s="12">
        <v>44651</v>
      </c>
      <c r="J16" s="12">
        <v>45016</v>
      </c>
      <c r="K16" s="12">
        <v>45382</v>
      </c>
    </row>
    <row r="17" spans="1:12" s="6" customFormat="1" x14ac:dyDescent="0.3">
      <c r="A17" s="6" t="s">
        <v>5</v>
      </c>
      <c r="B17">
        <v>21595.439999999999</v>
      </c>
      <c r="C17">
        <v>22573.69</v>
      </c>
      <c r="D17">
        <v>21754.720000000001</v>
      </c>
      <c r="E17">
        <v>25209.93</v>
      </c>
      <c r="F17">
        <v>30357.63</v>
      </c>
      <c r="G17">
        <v>29918.65</v>
      </c>
      <c r="H17">
        <v>27741.08</v>
      </c>
      <c r="I17">
        <v>33144.71</v>
      </c>
      <c r="J17">
        <v>36455.379999999997</v>
      </c>
      <c r="K17">
        <v>44870.43</v>
      </c>
    </row>
    <row r="18" spans="1:12" s="6" customFormat="1" x14ac:dyDescent="0.3">
      <c r="A18" s="4" t="s">
        <v>66</v>
      </c>
      <c r="B18">
        <v>14907.89</v>
      </c>
      <c r="C18">
        <v>14993.41</v>
      </c>
      <c r="D18">
        <v>14667.83</v>
      </c>
      <c r="E18">
        <v>17400.41</v>
      </c>
      <c r="F18">
        <v>21854.1</v>
      </c>
      <c r="G18">
        <v>21071.29</v>
      </c>
      <c r="H18">
        <v>19829.13</v>
      </c>
      <c r="I18">
        <v>24141.86</v>
      </c>
      <c r="J18">
        <v>26221.58</v>
      </c>
      <c r="K18">
        <v>31969.57</v>
      </c>
    </row>
    <row r="19" spans="1:12" s="6" customFormat="1" x14ac:dyDescent="0.3">
      <c r="A19" s="4" t="s">
        <v>67</v>
      </c>
      <c r="B19">
        <v>56.46</v>
      </c>
      <c r="C19">
        <v>-63.45</v>
      </c>
      <c r="D19">
        <v>43.68</v>
      </c>
      <c r="E19">
        <v>-9.68</v>
      </c>
      <c r="F19">
        <v>56.42</v>
      </c>
      <c r="G19">
        <v>63.01</v>
      </c>
      <c r="H19">
        <v>219.48</v>
      </c>
      <c r="I19">
        <v>-187.96</v>
      </c>
      <c r="J19">
        <v>100.33</v>
      </c>
      <c r="K19">
        <v>76.34</v>
      </c>
    </row>
    <row r="20" spans="1:12" s="6" customFormat="1" x14ac:dyDescent="0.3">
      <c r="A20" s="4" t="s">
        <v>68</v>
      </c>
      <c r="B20">
        <v>114.8</v>
      </c>
      <c r="C20">
        <v>120.66</v>
      </c>
      <c r="D20">
        <v>96.46</v>
      </c>
      <c r="E20">
        <v>100.26</v>
      </c>
      <c r="F20">
        <v>115.01</v>
      </c>
      <c r="G20">
        <v>116.57</v>
      </c>
      <c r="H20">
        <v>91.34</v>
      </c>
      <c r="I20">
        <v>108.01</v>
      </c>
      <c r="J20">
        <v>122.6</v>
      </c>
      <c r="K20">
        <v>147.94</v>
      </c>
    </row>
    <row r="21" spans="1:12" s="6" customFormat="1" x14ac:dyDescent="0.3">
      <c r="A21" s="4" t="s">
        <v>69</v>
      </c>
      <c r="B21">
        <v>655.78</v>
      </c>
      <c r="C21">
        <v>644.19000000000005</v>
      </c>
      <c r="D21">
        <v>547.54</v>
      </c>
      <c r="E21">
        <v>550.16</v>
      </c>
      <c r="F21">
        <v>633.99</v>
      </c>
      <c r="G21">
        <v>698.83</v>
      </c>
      <c r="H21">
        <v>597.11</v>
      </c>
      <c r="I21">
        <v>836.28</v>
      </c>
      <c r="J21">
        <v>743.55</v>
      </c>
      <c r="K21">
        <v>734.43</v>
      </c>
    </row>
    <row r="22" spans="1:12" s="6" customFormat="1" x14ac:dyDescent="0.3">
      <c r="A22" s="4" t="s">
        <v>70</v>
      </c>
      <c r="B22">
        <v>901.3</v>
      </c>
      <c r="C22">
        <v>920.01</v>
      </c>
      <c r="D22">
        <v>999.83</v>
      </c>
      <c r="E22">
        <v>1072.5899999999999</v>
      </c>
      <c r="F22">
        <v>1260.32</v>
      </c>
      <c r="G22">
        <v>1395</v>
      </c>
      <c r="H22">
        <v>1296.07</v>
      </c>
      <c r="I22">
        <v>1366</v>
      </c>
      <c r="J22">
        <v>1488.1</v>
      </c>
      <c r="K22">
        <v>1631.06</v>
      </c>
    </row>
    <row r="23" spans="1:12" s="6" customFormat="1" x14ac:dyDescent="0.3">
      <c r="A23" s="4" t="s">
        <v>71</v>
      </c>
      <c r="B23">
        <v>707.58</v>
      </c>
      <c r="C23">
        <v>795.66</v>
      </c>
      <c r="D23">
        <v>699.73</v>
      </c>
      <c r="E23">
        <v>852.82</v>
      </c>
      <c r="F23">
        <v>940.92</v>
      </c>
      <c r="G23">
        <v>1020.98</v>
      </c>
      <c r="H23">
        <v>654.86</v>
      </c>
      <c r="I23">
        <v>644.9</v>
      </c>
      <c r="J23">
        <v>852.61</v>
      </c>
      <c r="K23">
        <v>999.37</v>
      </c>
    </row>
    <row r="24" spans="1:12" s="6" customFormat="1" x14ac:dyDescent="0.3">
      <c r="A24" s="4" t="s">
        <v>72</v>
      </c>
      <c r="B24">
        <v>236.15</v>
      </c>
      <c r="C24">
        <v>243.36</v>
      </c>
      <c r="D24">
        <v>358.38</v>
      </c>
      <c r="E24">
        <v>378.21</v>
      </c>
      <c r="F24">
        <v>411.79</v>
      </c>
      <c r="G24">
        <v>569.65</v>
      </c>
      <c r="H24">
        <v>554.27</v>
      </c>
      <c r="I24">
        <v>600.9</v>
      </c>
      <c r="J24">
        <v>662.63</v>
      </c>
      <c r="K24">
        <v>699.72</v>
      </c>
    </row>
    <row r="25" spans="1:12" s="6" customFormat="1" x14ac:dyDescent="0.3">
      <c r="A25" s="6" t="s">
        <v>8</v>
      </c>
      <c r="B25">
        <v>228.5</v>
      </c>
      <c r="C25">
        <v>1194.1500000000001</v>
      </c>
      <c r="D25">
        <v>1467.61</v>
      </c>
      <c r="E25">
        <v>1403.72</v>
      </c>
      <c r="F25">
        <v>2027.83</v>
      </c>
      <c r="G25">
        <v>1832.38</v>
      </c>
      <c r="H25">
        <v>1569.68</v>
      </c>
      <c r="I25">
        <v>2671.3</v>
      </c>
      <c r="J25">
        <v>1702.7</v>
      </c>
      <c r="K25">
        <v>1700.49</v>
      </c>
    </row>
    <row r="26" spans="1:12" s="6" customFormat="1" x14ac:dyDescent="0.3">
      <c r="A26" s="6" t="s">
        <v>9</v>
      </c>
      <c r="B26">
        <v>267.45999999999998</v>
      </c>
      <c r="C26">
        <v>307.16000000000003</v>
      </c>
      <c r="D26">
        <v>307.29000000000002</v>
      </c>
      <c r="E26">
        <v>314.8</v>
      </c>
      <c r="F26">
        <v>265.69</v>
      </c>
      <c r="G26">
        <v>246.43</v>
      </c>
      <c r="H26">
        <v>259.37</v>
      </c>
      <c r="I26">
        <v>269.76</v>
      </c>
      <c r="J26">
        <v>285.85000000000002</v>
      </c>
      <c r="K26">
        <v>364.77</v>
      </c>
      <c r="L26" s="6">
        <f>AVERAGE(E26:K26)</f>
        <v>286.66714285714289</v>
      </c>
    </row>
    <row r="27" spans="1:12" s="6" customFormat="1" x14ac:dyDescent="0.3">
      <c r="A27" s="6" t="s">
        <v>10</v>
      </c>
      <c r="B27">
        <v>6.49</v>
      </c>
      <c r="C27">
        <v>1.05</v>
      </c>
      <c r="D27">
        <v>1.4</v>
      </c>
      <c r="E27">
        <v>1.31</v>
      </c>
      <c r="F27">
        <v>4.4800000000000004</v>
      </c>
      <c r="G27">
        <v>3.16</v>
      </c>
      <c r="H27">
        <v>6.66</v>
      </c>
      <c r="I27">
        <v>8.66</v>
      </c>
      <c r="J27">
        <v>39.51</v>
      </c>
      <c r="K27">
        <v>60.36</v>
      </c>
    </row>
    <row r="28" spans="1:12" s="6" customFormat="1" x14ac:dyDescent="0.3">
      <c r="A28" s="6" t="s">
        <v>11</v>
      </c>
      <c r="B28">
        <v>4082.95</v>
      </c>
      <c r="C28">
        <v>5678.89</v>
      </c>
      <c r="D28">
        <v>5587.55</v>
      </c>
      <c r="E28">
        <v>5933.41</v>
      </c>
      <c r="F28">
        <v>6955.58</v>
      </c>
      <c r="G28">
        <v>6692.13</v>
      </c>
      <c r="H28">
        <v>6241.43</v>
      </c>
      <c r="I28">
        <v>7651.68</v>
      </c>
      <c r="J28">
        <v>7841.98</v>
      </c>
      <c r="K28">
        <v>10040.040000000001</v>
      </c>
    </row>
    <row r="29" spans="1:12" s="6" customFormat="1" x14ac:dyDescent="0.3">
      <c r="A29" s="6" t="s">
        <v>12</v>
      </c>
      <c r="B29">
        <v>1271.05</v>
      </c>
      <c r="C29">
        <v>1617.65</v>
      </c>
      <c r="D29">
        <v>1508.07</v>
      </c>
      <c r="E29">
        <v>1714.47</v>
      </c>
      <c r="F29">
        <v>2027.98</v>
      </c>
      <c r="G29">
        <v>1480.22</v>
      </c>
      <c r="H29">
        <v>1384.41</v>
      </c>
      <c r="I29">
        <v>1485.81</v>
      </c>
      <c r="J29">
        <v>1781.77</v>
      </c>
      <c r="K29">
        <v>2331.8000000000002</v>
      </c>
    </row>
    <row r="30" spans="1:12" s="6" customFormat="1" x14ac:dyDescent="0.3">
      <c r="A30" s="6" t="s">
        <v>13</v>
      </c>
      <c r="B30">
        <v>3025.63</v>
      </c>
      <c r="C30">
        <v>4061.24</v>
      </c>
      <c r="D30">
        <v>4079.49</v>
      </c>
      <c r="E30">
        <v>4218.95</v>
      </c>
      <c r="F30">
        <v>4927.6099999999997</v>
      </c>
      <c r="G30">
        <v>5211.91</v>
      </c>
      <c r="H30">
        <v>4857.0200000000004</v>
      </c>
      <c r="I30">
        <v>6165.87</v>
      </c>
      <c r="J30">
        <v>6060.21</v>
      </c>
      <c r="K30">
        <v>7708.24</v>
      </c>
    </row>
    <row r="31" spans="1:12" s="6" customFormat="1" x14ac:dyDescent="0.3">
      <c r="A31" s="6" t="s">
        <v>56</v>
      </c>
      <c r="B31">
        <v>1446.85</v>
      </c>
      <c r="C31">
        <v>1591.54</v>
      </c>
      <c r="D31">
        <v>1591.54</v>
      </c>
      <c r="E31">
        <v>1736.22</v>
      </c>
      <c r="F31">
        <v>1736.22</v>
      </c>
      <c r="G31">
        <v>3472.44</v>
      </c>
      <c r="H31">
        <v>4051.18</v>
      </c>
      <c r="I31">
        <v>4051.18</v>
      </c>
      <c r="J31">
        <v>3961.44</v>
      </c>
      <c r="K31">
        <v>2233.44</v>
      </c>
    </row>
    <row r="32" spans="1:12" s="6" customFormat="1" x14ac:dyDescent="0.3"/>
    <row r="33" spans="1:11" x14ac:dyDescent="0.3">
      <c r="A33" s="6"/>
      <c r="I33" s="4">
        <f>SUM(I18:I22)</f>
        <v>26264.19</v>
      </c>
      <c r="J33" s="4">
        <f t="shared" ref="J33:K33" si="0">SUM(J18:J22)</f>
        <v>28676.16</v>
      </c>
      <c r="K33" s="4">
        <f t="shared" si="0"/>
        <v>34559.339999999997</v>
      </c>
    </row>
    <row r="34" spans="1:11" x14ac:dyDescent="0.3">
      <c r="A34" s="6"/>
      <c r="G34" s="4">
        <f t="shared" ref="G34:H34" si="1">SUM(G23:G24)</f>
        <v>1590.63</v>
      </c>
      <c r="H34" s="4">
        <f t="shared" si="1"/>
        <v>1209.1300000000001</v>
      </c>
      <c r="I34" s="4">
        <f>SUM(I23:I24)</f>
        <v>1245.8</v>
      </c>
      <c r="J34" s="4">
        <f t="shared" ref="J34:K34" si="2">SUM(J23:J24)</f>
        <v>1515.24</v>
      </c>
      <c r="K34" s="4">
        <f t="shared" si="2"/>
        <v>1699.0900000000001</v>
      </c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37</v>
      </c>
    </row>
    <row r="41" spans="1:11" s="18" customFormat="1" x14ac:dyDescent="0.3">
      <c r="A41" s="17" t="s">
        <v>36</v>
      </c>
      <c r="B41" s="12">
        <v>44834</v>
      </c>
      <c r="C41" s="12">
        <v>44926</v>
      </c>
      <c r="D41" s="12">
        <v>45016</v>
      </c>
      <c r="E41" s="12">
        <v>45107</v>
      </c>
      <c r="F41" s="12">
        <v>45199</v>
      </c>
      <c r="G41" s="12">
        <v>45291</v>
      </c>
      <c r="H41" s="12">
        <v>45382</v>
      </c>
      <c r="I41" s="12">
        <v>45473</v>
      </c>
      <c r="J41" s="12">
        <v>45565</v>
      </c>
      <c r="K41" s="12">
        <v>45657</v>
      </c>
    </row>
    <row r="42" spans="1:11" s="6" customFormat="1" x14ac:dyDescent="0.3">
      <c r="A42" s="6" t="s">
        <v>5</v>
      </c>
      <c r="B42">
        <v>10202.709999999999</v>
      </c>
      <c r="C42">
        <v>9318.5400000000009</v>
      </c>
      <c r="D42">
        <v>8929.23</v>
      </c>
      <c r="E42">
        <v>10311.91</v>
      </c>
      <c r="F42">
        <v>10838.24</v>
      </c>
      <c r="G42">
        <v>12165.33</v>
      </c>
      <c r="H42">
        <v>11554.95</v>
      </c>
      <c r="I42">
        <v>11932.07</v>
      </c>
      <c r="J42">
        <v>13247.28</v>
      </c>
      <c r="K42">
        <v>13168.88</v>
      </c>
    </row>
    <row r="43" spans="1:11" s="6" customFormat="1" x14ac:dyDescent="0.3">
      <c r="A43" s="6" t="s">
        <v>6</v>
      </c>
      <c r="B43">
        <v>8453.07</v>
      </c>
      <c r="C43">
        <v>7561.25</v>
      </c>
      <c r="D43">
        <v>7272.02</v>
      </c>
      <c r="E43">
        <v>8379.64</v>
      </c>
      <c r="F43">
        <v>8708.11</v>
      </c>
      <c r="G43">
        <v>9750.43</v>
      </c>
      <c r="H43">
        <v>9270.69</v>
      </c>
      <c r="I43">
        <v>9561.6299999999992</v>
      </c>
      <c r="J43">
        <v>11174.05</v>
      </c>
      <c r="K43">
        <v>10418.049999999999</v>
      </c>
    </row>
    <row r="44" spans="1:11" s="6" customFormat="1" x14ac:dyDescent="0.3">
      <c r="A44" s="6" t="s">
        <v>8</v>
      </c>
      <c r="B44">
        <v>531.98</v>
      </c>
      <c r="C44">
        <v>270.52999999999997</v>
      </c>
      <c r="D44">
        <v>594.66</v>
      </c>
      <c r="E44">
        <v>351.1</v>
      </c>
      <c r="F44">
        <v>552.25</v>
      </c>
      <c r="G44">
        <v>356.33</v>
      </c>
      <c r="H44">
        <v>443.93</v>
      </c>
      <c r="I44">
        <v>335.32</v>
      </c>
      <c r="J44">
        <v>399.33</v>
      </c>
      <c r="K44">
        <v>347.53</v>
      </c>
    </row>
    <row r="45" spans="1:11" s="6" customFormat="1" x14ac:dyDescent="0.3">
      <c r="A45" s="6" t="s">
        <v>9</v>
      </c>
      <c r="B45">
        <v>67.48</v>
      </c>
      <c r="C45">
        <v>74.819999999999993</v>
      </c>
      <c r="D45">
        <v>75.989999999999995</v>
      </c>
      <c r="E45">
        <v>87.23</v>
      </c>
      <c r="F45">
        <v>91.82</v>
      </c>
      <c r="G45">
        <v>92.91</v>
      </c>
      <c r="H45">
        <v>92.81</v>
      </c>
      <c r="I45">
        <v>95.01</v>
      </c>
      <c r="J45">
        <v>98.27</v>
      </c>
      <c r="K45">
        <v>101.72</v>
      </c>
    </row>
    <row r="46" spans="1:11" s="6" customFormat="1" x14ac:dyDescent="0.3">
      <c r="A46" s="6" t="s">
        <v>10</v>
      </c>
      <c r="B46">
        <v>10.92</v>
      </c>
      <c r="C46">
        <v>8.48</v>
      </c>
      <c r="D46">
        <v>15.77</v>
      </c>
      <c r="E46">
        <v>12.09</v>
      </c>
      <c r="F46">
        <v>6.54</v>
      </c>
      <c r="G46">
        <v>12.1</v>
      </c>
      <c r="H46">
        <v>29.63</v>
      </c>
      <c r="I46">
        <v>46.97</v>
      </c>
      <c r="J46">
        <v>75.2</v>
      </c>
      <c r="K46">
        <v>120.21</v>
      </c>
    </row>
    <row r="47" spans="1:11" s="6" customFormat="1" x14ac:dyDescent="0.3">
      <c r="A47" s="6" t="s">
        <v>11</v>
      </c>
      <c r="B47">
        <v>2203.2199999999998</v>
      </c>
      <c r="C47">
        <v>1944.52</v>
      </c>
      <c r="D47">
        <v>2160.11</v>
      </c>
      <c r="E47">
        <v>2184.0500000000002</v>
      </c>
      <c r="F47">
        <v>2584.02</v>
      </c>
      <c r="G47">
        <v>2666.22</v>
      </c>
      <c r="H47">
        <v>2605.75</v>
      </c>
      <c r="I47">
        <v>2563.7800000000002</v>
      </c>
      <c r="J47">
        <v>2299.09</v>
      </c>
      <c r="K47">
        <v>2876.43</v>
      </c>
    </row>
    <row r="48" spans="1:11" s="6" customFormat="1" x14ac:dyDescent="0.3">
      <c r="A48" s="6" t="s">
        <v>12</v>
      </c>
      <c r="B48">
        <v>483.78</v>
      </c>
      <c r="C48">
        <v>471.82</v>
      </c>
      <c r="D48">
        <v>455.37</v>
      </c>
      <c r="E48">
        <v>539.91</v>
      </c>
      <c r="F48">
        <v>563.97</v>
      </c>
      <c r="G48">
        <v>633.6</v>
      </c>
      <c r="H48">
        <v>594.32000000000005</v>
      </c>
      <c r="I48">
        <v>621.99</v>
      </c>
      <c r="J48">
        <v>913.65</v>
      </c>
      <c r="K48">
        <v>680.78</v>
      </c>
    </row>
    <row r="49" spans="1:11" s="6" customFormat="1" x14ac:dyDescent="0.3">
      <c r="A49" s="6" t="s">
        <v>13</v>
      </c>
      <c r="B49">
        <v>1719.44</v>
      </c>
      <c r="C49">
        <v>1472.7</v>
      </c>
      <c r="D49">
        <v>1704.74</v>
      </c>
      <c r="E49">
        <v>1644.14</v>
      </c>
      <c r="F49">
        <v>2020.05</v>
      </c>
      <c r="G49">
        <v>2032.62</v>
      </c>
      <c r="H49">
        <v>2011.43</v>
      </c>
      <c r="I49">
        <v>1941.79</v>
      </c>
      <c r="J49">
        <v>1385.44</v>
      </c>
      <c r="K49">
        <v>2195.65</v>
      </c>
    </row>
    <row r="50" spans="1:11" x14ac:dyDescent="0.3">
      <c r="A50" s="6" t="s">
        <v>7</v>
      </c>
      <c r="B50">
        <v>1749.64</v>
      </c>
      <c r="C50">
        <v>1757.29</v>
      </c>
      <c r="D50">
        <v>1657.21</v>
      </c>
      <c r="E50">
        <v>1932.27</v>
      </c>
      <c r="F50">
        <v>2130.13</v>
      </c>
      <c r="G50">
        <v>2414.9</v>
      </c>
      <c r="H50">
        <v>2284.2600000000002</v>
      </c>
      <c r="I50">
        <v>2370.44</v>
      </c>
      <c r="J50">
        <v>2073.23</v>
      </c>
      <c r="K50">
        <v>2750.83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38</v>
      </c>
    </row>
    <row r="56" spans="1:11" s="18" customFormat="1" x14ac:dyDescent="0.3">
      <c r="A56" s="17" t="s">
        <v>36</v>
      </c>
      <c r="B56" s="12">
        <v>42094</v>
      </c>
      <c r="C56" s="12">
        <v>42460</v>
      </c>
      <c r="D56" s="12">
        <v>42825</v>
      </c>
      <c r="E56" s="12">
        <v>43190</v>
      </c>
      <c r="F56" s="12">
        <v>43555</v>
      </c>
      <c r="G56" s="12">
        <v>43921</v>
      </c>
      <c r="H56" s="12">
        <v>44286</v>
      </c>
      <c r="I56" s="12">
        <v>44651</v>
      </c>
      <c r="J56" s="12">
        <v>45016</v>
      </c>
      <c r="K56" s="12">
        <v>45382</v>
      </c>
    </row>
    <row r="57" spans="1:11" x14ac:dyDescent="0.3">
      <c r="A57" s="6" t="s">
        <v>23</v>
      </c>
      <c r="B57">
        <v>289.37</v>
      </c>
      <c r="C57">
        <v>289.37</v>
      </c>
      <c r="D57">
        <v>289.37</v>
      </c>
      <c r="E57">
        <v>289.37</v>
      </c>
      <c r="F57">
        <v>289.37</v>
      </c>
      <c r="G57">
        <v>289.37</v>
      </c>
      <c r="H57">
        <v>289.37</v>
      </c>
      <c r="I57">
        <v>289.37</v>
      </c>
      <c r="J57">
        <v>282.95999999999998</v>
      </c>
      <c r="K57">
        <v>279.18</v>
      </c>
    </row>
    <row r="58" spans="1:11" x14ac:dyDescent="0.3">
      <c r="A58" s="6" t="s">
        <v>24</v>
      </c>
      <c r="B58">
        <v>10805.95</v>
      </c>
      <c r="C58">
        <v>13730.94</v>
      </c>
      <c r="D58">
        <v>17567.2</v>
      </c>
      <c r="E58">
        <v>20135.87</v>
      </c>
      <c r="F58">
        <v>22944.44</v>
      </c>
      <c r="G58">
        <v>21372.71</v>
      </c>
      <c r="H58">
        <v>26984.06</v>
      </c>
      <c r="I58">
        <v>29570.28</v>
      </c>
      <c r="J58">
        <v>29078.58</v>
      </c>
      <c r="K58">
        <v>28683.23</v>
      </c>
    </row>
    <row r="59" spans="1:11" x14ac:dyDescent="0.3">
      <c r="A59" s="6" t="s">
        <v>57</v>
      </c>
      <c r="B59">
        <v>112.35</v>
      </c>
      <c r="C59">
        <v>117.86</v>
      </c>
      <c r="D59">
        <v>119.9</v>
      </c>
      <c r="E59">
        <v>120.77</v>
      </c>
      <c r="F59">
        <v>124.52</v>
      </c>
      <c r="G59">
        <v>125.59</v>
      </c>
      <c r="H59">
        <v>121.46</v>
      </c>
      <c r="I59">
        <v>122.77</v>
      </c>
      <c r="J59">
        <v>124.23</v>
      </c>
      <c r="K59">
        <v>1911.74</v>
      </c>
    </row>
    <row r="60" spans="1:11" x14ac:dyDescent="0.3">
      <c r="A60" s="6" t="s">
        <v>58</v>
      </c>
      <c r="B60">
        <v>4757.93</v>
      </c>
      <c r="C60">
        <v>3102.2</v>
      </c>
      <c r="D60">
        <v>3661.15</v>
      </c>
      <c r="E60">
        <v>4594.99</v>
      </c>
      <c r="F60">
        <v>5476.08</v>
      </c>
      <c r="G60">
        <v>4722.3500000000004</v>
      </c>
      <c r="H60">
        <v>6206.82</v>
      </c>
      <c r="I60">
        <v>5128.79</v>
      </c>
      <c r="J60">
        <v>5650.68</v>
      </c>
      <c r="K60">
        <v>8469.5400000000009</v>
      </c>
    </row>
    <row r="61" spans="1:11" s="1" customFormat="1" x14ac:dyDescent="0.3">
      <c r="A61" s="1" t="s">
        <v>25</v>
      </c>
      <c r="B61">
        <v>15965.6</v>
      </c>
      <c r="C61">
        <v>17240.37</v>
      </c>
      <c r="D61">
        <v>21637.62</v>
      </c>
      <c r="E61">
        <v>25141</v>
      </c>
      <c r="F61">
        <v>28834.41</v>
      </c>
      <c r="G61">
        <v>26510.02</v>
      </c>
      <c r="H61">
        <v>33601.71</v>
      </c>
      <c r="I61">
        <v>35111.21</v>
      </c>
      <c r="J61">
        <v>35136.449999999997</v>
      </c>
      <c r="K61">
        <v>39343.69</v>
      </c>
    </row>
    <row r="62" spans="1:11" x14ac:dyDescent="0.3">
      <c r="A62" s="6" t="s">
        <v>26</v>
      </c>
      <c r="B62">
        <v>2448.0300000000002</v>
      </c>
      <c r="C62">
        <v>2025.67</v>
      </c>
      <c r="D62">
        <v>2001.79</v>
      </c>
      <c r="E62">
        <v>1878.33</v>
      </c>
      <c r="F62">
        <v>1763.94</v>
      </c>
      <c r="G62">
        <v>1699.02</v>
      </c>
      <c r="H62">
        <v>1667.55</v>
      </c>
      <c r="I62">
        <v>1836.05</v>
      </c>
      <c r="J62">
        <v>2842.24</v>
      </c>
      <c r="K62">
        <v>3217.37</v>
      </c>
    </row>
    <row r="63" spans="1:11" x14ac:dyDescent="0.3">
      <c r="A63" s="6" t="s">
        <v>27</v>
      </c>
      <c r="B63">
        <v>254.94</v>
      </c>
      <c r="C63">
        <v>52.24</v>
      </c>
      <c r="D63">
        <v>42.17</v>
      </c>
      <c r="E63">
        <v>56.47</v>
      </c>
      <c r="F63">
        <v>48.02</v>
      </c>
      <c r="G63">
        <v>60.19</v>
      </c>
      <c r="H63">
        <v>15.98</v>
      </c>
      <c r="I63">
        <v>77.209999999999994</v>
      </c>
      <c r="J63">
        <v>85.27</v>
      </c>
      <c r="K63">
        <v>35.1</v>
      </c>
    </row>
    <row r="64" spans="1:11" x14ac:dyDescent="0.3">
      <c r="A64" s="6" t="s">
        <v>28</v>
      </c>
      <c r="B64">
        <v>8985.25</v>
      </c>
      <c r="C64">
        <v>11067.23</v>
      </c>
      <c r="D64">
        <v>15477.04</v>
      </c>
      <c r="E64">
        <v>18894.57</v>
      </c>
      <c r="F64">
        <v>20602.849999999999</v>
      </c>
      <c r="G64">
        <v>19913.580000000002</v>
      </c>
      <c r="H64">
        <v>24686.65</v>
      </c>
      <c r="I64">
        <v>26634.12</v>
      </c>
      <c r="J64">
        <v>26182.91</v>
      </c>
      <c r="K64">
        <v>28086.68</v>
      </c>
    </row>
    <row r="65" spans="1:11" x14ac:dyDescent="0.3">
      <c r="A65" s="6" t="s">
        <v>59</v>
      </c>
      <c r="B65">
        <v>4277.38</v>
      </c>
      <c r="C65">
        <v>4095.23</v>
      </c>
      <c r="D65">
        <v>4116.62</v>
      </c>
      <c r="E65">
        <v>4311.63</v>
      </c>
      <c r="F65">
        <v>6419.6</v>
      </c>
      <c r="G65">
        <v>4837.2299999999996</v>
      </c>
      <c r="H65">
        <v>7231.53</v>
      </c>
      <c r="I65">
        <v>6563.83</v>
      </c>
      <c r="J65">
        <v>6026.03</v>
      </c>
      <c r="K65">
        <v>8004.54</v>
      </c>
    </row>
    <row r="66" spans="1:11" s="1" customFormat="1" x14ac:dyDescent="0.3">
      <c r="A66" s="1" t="s">
        <v>25</v>
      </c>
      <c r="B66">
        <v>15965.6</v>
      </c>
      <c r="C66">
        <v>17240.37</v>
      </c>
      <c r="D66">
        <v>21637.62</v>
      </c>
      <c r="E66">
        <v>25141</v>
      </c>
      <c r="F66">
        <v>28834.41</v>
      </c>
      <c r="G66">
        <v>26510.02</v>
      </c>
      <c r="H66">
        <v>33601.71</v>
      </c>
      <c r="I66">
        <v>35111.21</v>
      </c>
      <c r="J66">
        <v>35136.449999999997</v>
      </c>
      <c r="K66">
        <v>39343.69</v>
      </c>
    </row>
    <row r="67" spans="1:11" s="6" customFormat="1" x14ac:dyDescent="0.3">
      <c r="A67" s="6" t="s">
        <v>64</v>
      </c>
      <c r="B67">
        <v>716.96</v>
      </c>
      <c r="C67">
        <v>717.93</v>
      </c>
      <c r="D67">
        <v>953.29</v>
      </c>
      <c r="E67">
        <v>1491.87</v>
      </c>
      <c r="F67">
        <v>2559.69</v>
      </c>
      <c r="G67">
        <v>1725.1</v>
      </c>
      <c r="H67">
        <v>2716.85</v>
      </c>
      <c r="I67">
        <v>1516.38</v>
      </c>
      <c r="J67">
        <v>1752.43</v>
      </c>
      <c r="K67">
        <v>2075.5300000000002</v>
      </c>
    </row>
    <row r="68" spans="1:11" x14ac:dyDescent="0.3">
      <c r="A68" s="6" t="s">
        <v>43</v>
      </c>
      <c r="B68">
        <v>814.15</v>
      </c>
      <c r="C68">
        <v>719.07</v>
      </c>
      <c r="D68">
        <v>728.38</v>
      </c>
      <c r="E68">
        <v>742.58</v>
      </c>
      <c r="F68">
        <v>961.51</v>
      </c>
      <c r="G68">
        <v>1063.5</v>
      </c>
      <c r="H68">
        <v>1493.89</v>
      </c>
      <c r="I68">
        <v>1230.51</v>
      </c>
      <c r="J68">
        <v>1563.55</v>
      </c>
      <c r="K68">
        <v>1688.75</v>
      </c>
    </row>
    <row r="69" spans="1:11" x14ac:dyDescent="0.3">
      <c r="A69" s="4" t="s">
        <v>73</v>
      </c>
      <c r="B69">
        <v>592.74</v>
      </c>
      <c r="C69">
        <v>867.03</v>
      </c>
      <c r="D69">
        <v>301.36</v>
      </c>
      <c r="E69">
        <v>792.66</v>
      </c>
      <c r="F69">
        <v>933.07</v>
      </c>
      <c r="G69">
        <v>316.33999999999997</v>
      </c>
      <c r="H69">
        <v>538.84</v>
      </c>
      <c r="I69">
        <v>958.06</v>
      </c>
      <c r="J69">
        <v>690.48</v>
      </c>
      <c r="K69">
        <v>955.32</v>
      </c>
    </row>
    <row r="70" spans="1:11" x14ac:dyDescent="0.3">
      <c r="A70" s="4" t="s">
        <v>60</v>
      </c>
      <c r="B70">
        <v>289367020</v>
      </c>
      <c r="C70">
        <v>289367020</v>
      </c>
      <c r="D70">
        <v>289367020</v>
      </c>
      <c r="E70">
        <v>289367020</v>
      </c>
      <c r="F70">
        <v>289367020</v>
      </c>
      <c r="G70">
        <v>289367020</v>
      </c>
      <c r="H70">
        <v>289367020</v>
      </c>
      <c r="I70">
        <v>289367020</v>
      </c>
      <c r="J70">
        <v>282957358</v>
      </c>
      <c r="K70">
        <v>279179756</v>
      </c>
    </row>
    <row r="71" spans="1:11" x14ac:dyDescent="0.3">
      <c r="A71" s="4" t="s">
        <v>61</v>
      </c>
    </row>
    <row r="72" spans="1:11" x14ac:dyDescent="0.3">
      <c r="A72" s="4" t="s">
        <v>74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39</v>
      </c>
    </row>
    <row r="81" spans="1:11" s="18" customFormat="1" x14ac:dyDescent="0.3">
      <c r="A81" s="17" t="s">
        <v>36</v>
      </c>
      <c r="B81" s="12">
        <v>42094</v>
      </c>
      <c r="C81" s="12">
        <v>42460</v>
      </c>
      <c r="D81" s="12">
        <v>42825</v>
      </c>
      <c r="E81" s="12">
        <v>43190</v>
      </c>
      <c r="F81" s="12">
        <v>43555</v>
      </c>
      <c r="G81" s="12">
        <v>43921</v>
      </c>
      <c r="H81" s="12">
        <v>44286</v>
      </c>
      <c r="I81" s="12">
        <v>44651</v>
      </c>
      <c r="J81" s="12">
        <v>45016</v>
      </c>
      <c r="K81" s="12">
        <v>45382</v>
      </c>
    </row>
    <row r="82" spans="1:11" s="1" customFormat="1" x14ac:dyDescent="0.3">
      <c r="A82" s="6" t="s">
        <v>31</v>
      </c>
      <c r="B82">
        <v>2113.8000000000002</v>
      </c>
      <c r="C82">
        <v>3689.85</v>
      </c>
      <c r="D82">
        <v>3267.36</v>
      </c>
      <c r="E82">
        <v>4327.84</v>
      </c>
      <c r="F82">
        <v>2486.86</v>
      </c>
      <c r="G82">
        <v>3850.44</v>
      </c>
      <c r="H82">
        <v>3119.88</v>
      </c>
      <c r="I82">
        <v>4197.21</v>
      </c>
      <c r="J82">
        <v>5277.42</v>
      </c>
      <c r="K82">
        <v>6558.16</v>
      </c>
    </row>
    <row r="83" spans="1:11" s="6" customFormat="1" x14ac:dyDescent="0.3">
      <c r="A83" s="6" t="s">
        <v>32</v>
      </c>
      <c r="B83">
        <v>-379.66</v>
      </c>
      <c r="C83">
        <v>-67.52</v>
      </c>
      <c r="D83">
        <v>-3609.68</v>
      </c>
      <c r="E83">
        <v>-1954.48</v>
      </c>
      <c r="F83">
        <v>-272.77</v>
      </c>
      <c r="G83">
        <v>1765.83</v>
      </c>
      <c r="H83">
        <v>-2869.15</v>
      </c>
      <c r="I83">
        <v>276.2</v>
      </c>
      <c r="J83">
        <v>1211.21</v>
      </c>
      <c r="K83">
        <v>-71.97</v>
      </c>
    </row>
    <row r="84" spans="1:11" s="6" customFormat="1" x14ac:dyDescent="0.3">
      <c r="A84" s="6" t="s">
        <v>33</v>
      </c>
      <c r="B84">
        <v>-1644.18</v>
      </c>
      <c r="C84">
        <v>-3384.08</v>
      </c>
      <c r="D84">
        <v>-190.09</v>
      </c>
      <c r="E84">
        <v>-1885.26</v>
      </c>
      <c r="F84">
        <v>-2074.0500000000002</v>
      </c>
      <c r="G84">
        <v>-6246.51</v>
      </c>
      <c r="H84">
        <v>-19.52</v>
      </c>
      <c r="I84">
        <v>-4056.33</v>
      </c>
      <c r="J84">
        <v>-7180.7</v>
      </c>
      <c r="K84">
        <v>-6167.36</v>
      </c>
    </row>
    <row r="85" spans="1:11" s="1" customFormat="1" x14ac:dyDescent="0.3">
      <c r="A85" s="6" t="s">
        <v>34</v>
      </c>
      <c r="B85">
        <v>89.96</v>
      </c>
      <c r="C85">
        <v>238.25</v>
      </c>
      <c r="D85">
        <v>-532.41</v>
      </c>
      <c r="E85">
        <v>488.1</v>
      </c>
      <c r="F85">
        <v>140.04</v>
      </c>
      <c r="G85">
        <v>-630.24</v>
      </c>
      <c r="H85">
        <v>231.21</v>
      </c>
      <c r="I85">
        <v>417.08</v>
      </c>
      <c r="J85">
        <v>-692.07</v>
      </c>
      <c r="K85">
        <v>318.83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63</v>
      </c>
      <c r="B90">
        <v>2016.6</v>
      </c>
      <c r="C90">
        <v>2405.9499999999998</v>
      </c>
      <c r="D90">
        <v>2805.45</v>
      </c>
      <c r="E90">
        <v>2744.7</v>
      </c>
      <c r="F90">
        <v>2911.1</v>
      </c>
      <c r="G90">
        <v>2022.35</v>
      </c>
      <c r="H90">
        <v>3670.6</v>
      </c>
      <c r="I90">
        <v>3653</v>
      </c>
      <c r="J90">
        <v>3884.75</v>
      </c>
      <c r="K90">
        <v>9148.15</v>
      </c>
    </row>
    <row r="92" spans="1:11" s="1" customFormat="1" x14ac:dyDescent="0.3">
      <c r="A92" s="1" t="s">
        <v>62</v>
      </c>
    </row>
    <row r="93" spans="1:11" x14ac:dyDescent="0.3">
      <c r="A93" s="4" t="s">
        <v>75</v>
      </c>
      <c r="B93" s="20">
        <v>28.94</v>
      </c>
      <c r="C93" s="20">
        <v>28.94</v>
      </c>
      <c r="D93" s="20">
        <v>28.94</v>
      </c>
      <c r="E93" s="20">
        <v>28.94</v>
      </c>
      <c r="F93" s="20">
        <v>28.94</v>
      </c>
      <c r="G93" s="20">
        <v>28.94</v>
      </c>
      <c r="H93" s="20">
        <v>28.94</v>
      </c>
      <c r="I93" s="20">
        <v>28.94</v>
      </c>
      <c r="J93" s="20">
        <v>28.3</v>
      </c>
      <c r="K93" s="20">
        <v>27.92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2072-05ED-47B4-863E-B5F004AD8766}">
  <sheetPr>
    <tabColor rgb="FF92D050"/>
  </sheetPr>
  <dimension ref="A1:AA60"/>
  <sheetViews>
    <sheetView topLeftCell="A33" zoomScale="87" workbookViewId="0">
      <selection activeCell="P54" sqref="P54"/>
    </sheetView>
  </sheetViews>
  <sheetFormatPr defaultRowHeight="14.4" x14ac:dyDescent="0.3"/>
  <cols>
    <col min="1" max="13" width="11.88671875" customWidth="1"/>
    <col min="14" max="14" width="9.5546875" bestFit="1" customWidth="1"/>
  </cols>
  <sheetData>
    <row r="1" spans="1:27" ht="15" thickBot="1" x14ac:dyDescent="0.35">
      <c r="A1" s="21" t="s">
        <v>76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4"/>
      <c r="M1" s="23"/>
      <c r="N1" s="25"/>
    </row>
    <row r="2" spans="1:27" x14ac:dyDescent="0.3">
      <c r="A2" s="26" t="s">
        <v>77</v>
      </c>
      <c r="B2" s="27"/>
      <c r="C2" s="28"/>
      <c r="D2" s="29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1:27" x14ac:dyDescent="0.3">
      <c r="A3" s="26"/>
      <c r="B3" s="27"/>
      <c r="C3" s="28"/>
      <c r="D3" s="32" t="s">
        <v>78</v>
      </c>
      <c r="E3" s="33"/>
      <c r="F3" s="33"/>
      <c r="G3" s="34"/>
      <c r="H3" s="35"/>
      <c r="I3" s="102" t="s">
        <v>79</v>
      </c>
      <c r="J3" s="102"/>
      <c r="K3" s="102"/>
      <c r="L3" s="102"/>
      <c r="M3" s="103"/>
      <c r="N3" s="36"/>
    </row>
    <row r="4" spans="1:27" x14ac:dyDescent="0.3">
      <c r="A4" s="28"/>
      <c r="B4" s="28"/>
      <c r="C4" s="28"/>
      <c r="D4" s="37">
        <f>+E4-1</f>
        <v>2022</v>
      </c>
      <c r="E4" s="37">
        <v>2023</v>
      </c>
      <c r="F4" s="37">
        <v>2024</v>
      </c>
      <c r="G4" s="38" t="s">
        <v>134</v>
      </c>
      <c r="H4" s="37">
        <v>2025</v>
      </c>
      <c r="I4" s="37">
        <v>2026</v>
      </c>
      <c r="J4" s="39">
        <v>2027</v>
      </c>
      <c r="K4" s="37">
        <v>2028</v>
      </c>
      <c r="L4" s="39">
        <v>2029</v>
      </c>
      <c r="M4" s="37">
        <v>2030</v>
      </c>
      <c r="N4" s="36"/>
    </row>
    <row r="5" spans="1:27" x14ac:dyDescent="0.3">
      <c r="A5" s="28" t="s">
        <v>5</v>
      </c>
      <c r="B5" s="28"/>
      <c r="C5" s="28"/>
      <c r="D5" s="40">
        <f>'Profit &amp; Loss'!I4</f>
        <v>33144.71</v>
      </c>
      <c r="E5" s="40">
        <f>'Profit &amp; Loss'!J4</f>
        <v>36455.379999999997</v>
      </c>
      <c r="F5" s="40">
        <f>'Profit &amp; Loss'!K4</f>
        <v>44870.43</v>
      </c>
      <c r="G5" s="40"/>
      <c r="H5" s="40">
        <f>F5*(1+H6)</f>
        <v>48460.064400000003</v>
      </c>
      <c r="I5" s="40">
        <f>H5*(1+I6)</f>
        <v>52336.869552000004</v>
      </c>
      <c r="J5" s="40">
        <f t="shared" ref="J5:M5" si="0">I5*(1+J6)</f>
        <v>56523.819116160004</v>
      </c>
      <c r="K5" s="40">
        <f t="shared" si="0"/>
        <v>61045.724645452807</v>
      </c>
      <c r="L5" s="40">
        <f t="shared" si="0"/>
        <v>65929.382617089039</v>
      </c>
      <c r="M5" s="40">
        <f t="shared" si="0"/>
        <v>71203.73322645617</v>
      </c>
      <c r="N5" s="41"/>
    </row>
    <row r="6" spans="1:27" x14ac:dyDescent="0.3">
      <c r="A6" s="42" t="s">
        <v>80</v>
      </c>
      <c r="B6" s="29"/>
      <c r="C6" s="29"/>
      <c r="D6" s="43"/>
      <c r="E6" s="44">
        <f>(E5-D5)/D5</f>
        <v>9.9885321066317923E-2</v>
      </c>
      <c r="F6" s="44">
        <f>(F5-E5)/E5</f>
        <v>0.23083149867042954</v>
      </c>
      <c r="G6" s="45">
        <v>0.08</v>
      </c>
      <c r="H6" s="44">
        <f>G6</f>
        <v>0.08</v>
      </c>
      <c r="I6" s="44">
        <f>H6</f>
        <v>0.08</v>
      </c>
      <c r="J6" s="44">
        <f t="shared" ref="J6:M6" si="1">I6</f>
        <v>0.08</v>
      </c>
      <c r="K6" s="44">
        <f t="shared" si="1"/>
        <v>0.08</v>
      </c>
      <c r="L6" s="44">
        <f t="shared" si="1"/>
        <v>0.08</v>
      </c>
      <c r="M6" s="44">
        <f t="shared" si="1"/>
        <v>0.08</v>
      </c>
      <c r="N6" s="46"/>
    </row>
    <row r="7" spans="1:27" x14ac:dyDescent="0.3">
      <c r="A7" s="29" t="s">
        <v>81</v>
      </c>
      <c r="B7" s="30"/>
      <c r="C7" s="47">
        <v>0.8</v>
      </c>
      <c r="D7" s="40">
        <f>'Data Sheet'!I33</f>
        <v>26264.19</v>
      </c>
      <c r="E7" s="40">
        <f>'Data Sheet'!J33</f>
        <v>28676.16</v>
      </c>
      <c r="F7" s="40">
        <f>'Data Sheet'!K33</f>
        <v>34559.339999999997</v>
      </c>
      <c r="G7" s="40"/>
      <c r="H7" s="40">
        <f>H5*0.8</f>
        <v>38768.051520000001</v>
      </c>
      <c r="I7" s="40">
        <f t="shared" ref="I7:M7" si="2">I5*0.8</f>
        <v>41869.495641600006</v>
      </c>
      <c r="J7" s="40">
        <f t="shared" si="2"/>
        <v>45219.055292928009</v>
      </c>
      <c r="K7" s="40">
        <f t="shared" si="2"/>
        <v>48836.579716362248</v>
      </c>
      <c r="L7" s="40">
        <f t="shared" si="2"/>
        <v>52743.506093671233</v>
      </c>
      <c r="M7" s="40">
        <f t="shared" si="2"/>
        <v>56962.986581164936</v>
      </c>
      <c r="N7" s="41"/>
    </row>
    <row r="8" spans="1:27" x14ac:dyDescent="0.3">
      <c r="A8" s="48" t="s">
        <v>82</v>
      </c>
      <c r="B8" s="30"/>
      <c r="C8" s="30"/>
      <c r="D8" s="49">
        <f>+D5-D7</f>
        <v>6880.52</v>
      </c>
      <c r="E8" s="49">
        <f>+E5-E7</f>
        <v>7779.2199999999975</v>
      </c>
      <c r="F8" s="49">
        <f>+F5-F7</f>
        <v>10311.090000000004</v>
      </c>
      <c r="G8" s="50"/>
      <c r="H8" s="49">
        <f t="shared" ref="H8:M8" si="3">+H5-H7</f>
        <v>9692.012880000002</v>
      </c>
      <c r="I8" s="49">
        <f t="shared" si="3"/>
        <v>10467.373910399998</v>
      </c>
      <c r="J8" s="49">
        <f t="shared" si="3"/>
        <v>11304.763823231995</v>
      </c>
      <c r="K8" s="49">
        <f t="shared" si="3"/>
        <v>12209.144929090558</v>
      </c>
      <c r="L8" s="49">
        <f t="shared" si="3"/>
        <v>13185.876523417806</v>
      </c>
      <c r="M8" s="49">
        <f t="shared" si="3"/>
        <v>14240.746645291234</v>
      </c>
      <c r="N8" s="41"/>
    </row>
    <row r="9" spans="1:27" x14ac:dyDescent="0.3">
      <c r="A9" s="42" t="s">
        <v>83</v>
      </c>
      <c r="B9" s="29"/>
      <c r="C9" s="29"/>
      <c r="D9" s="44">
        <f>D8/D5</f>
        <v>0.20759029118070427</v>
      </c>
      <c r="E9" s="44">
        <f t="shared" ref="E9:F9" si="4">E8/E5</f>
        <v>0.21339017725230125</v>
      </c>
      <c r="F9" s="44">
        <f t="shared" si="4"/>
        <v>0.22979699548232552</v>
      </c>
      <c r="G9" s="50"/>
      <c r="H9" s="44">
        <f>H8/H5</f>
        <v>0.20000000000000004</v>
      </c>
      <c r="I9" s="44">
        <f t="shared" ref="I9:M9" si="5">I8/I5</f>
        <v>0.19999999999999996</v>
      </c>
      <c r="J9" s="44">
        <f t="shared" si="5"/>
        <v>0.1999999999999999</v>
      </c>
      <c r="K9" s="44">
        <f t="shared" si="5"/>
        <v>0.19999999999999996</v>
      </c>
      <c r="L9" s="44">
        <f t="shared" si="5"/>
        <v>0.19999999999999998</v>
      </c>
      <c r="M9" s="44">
        <f t="shared" si="5"/>
        <v>0.2</v>
      </c>
      <c r="N9" s="51"/>
    </row>
    <row r="10" spans="1:27" x14ac:dyDescent="0.3">
      <c r="A10" s="29" t="s">
        <v>84</v>
      </c>
      <c r="B10" s="30"/>
      <c r="C10" s="47">
        <v>0.04</v>
      </c>
      <c r="D10" s="40">
        <f>'Data Sheet'!I34</f>
        <v>1245.8</v>
      </c>
      <c r="E10" s="40">
        <f>'Data Sheet'!J34</f>
        <v>1515.24</v>
      </c>
      <c r="F10" s="40">
        <f>'Data Sheet'!K34</f>
        <v>1699.0900000000001</v>
      </c>
      <c r="G10" s="50"/>
      <c r="H10" s="40">
        <f>H5*0.04</f>
        <v>1938.4025760000002</v>
      </c>
      <c r="I10" s="40">
        <f t="shared" ref="I10:M10" si="6">I5*0.04</f>
        <v>2093.4747820800003</v>
      </c>
      <c r="J10" s="40">
        <f t="shared" si="6"/>
        <v>2260.9527646464003</v>
      </c>
      <c r="K10" s="40">
        <f>K5*0.04</f>
        <v>2441.8289858181124</v>
      </c>
      <c r="L10" s="40">
        <f t="shared" si="6"/>
        <v>2637.1753046835615</v>
      </c>
      <c r="M10" s="40">
        <f t="shared" si="6"/>
        <v>2848.1493290582471</v>
      </c>
      <c r="N10" s="41"/>
    </row>
    <row r="11" spans="1:27" x14ac:dyDescent="0.3">
      <c r="A11" s="28" t="s">
        <v>85</v>
      </c>
      <c r="B11" s="28"/>
      <c r="C11" s="28"/>
      <c r="D11" s="49">
        <f>D8-D10</f>
        <v>5634.72</v>
      </c>
      <c r="E11" s="49">
        <f>E8-E10</f>
        <v>6263.9799999999977</v>
      </c>
      <c r="F11" s="49">
        <f>F8-F10</f>
        <v>8612.0000000000036</v>
      </c>
      <c r="G11" s="50"/>
      <c r="H11" s="49">
        <f t="shared" ref="H11:M11" si="7">H8-H10</f>
        <v>7753.6103040000016</v>
      </c>
      <c r="I11" s="49">
        <f t="shared" si="7"/>
        <v>8373.8991283199975</v>
      </c>
      <c r="J11" s="49">
        <f t="shared" si="7"/>
        <v>9043.8110585855939</v>
      </c>
      <c r="K11" s="49">
        <f t="shared" si="7"/>
        <v>9767.315943272446</v>
      </c>
      <c r="L11" s="49">
        <f t="shared" si="7"/>
        <v>10548.701218734244</v>
      </c>
      <c r="M11" s="49">
        <f t="shared" si="7"/>
        <v>11392.597316232986</v>
      </c>
      <c r="N11" s="41"/>
    </row>
    <row r="12" spans="1:27" x14ac:dyDescent="0.3">
      <c r="A12" s="42" t="s">
        <v>83</v>
      </c>
      <c r="B12" s="29"/>
      <c r="C12" s="29"/>
      <c r="D12" s="44">
        <f>D11/D5</f>
        <v>0.17000359936774226</v>
      </c>
      <c r="E12" s="44">
        <f t="shared" ref="E12:F12" si="8">E11/E5</f>
        <v>0.17182594174028629</v>
      </c>
      <c r="F12" s="44">
        <f t="shared" si="8"/>
        <v>0.19193040940325296</v>
      </c>
      <c r="G12" s="50"/>
      <c r="H12" s="44">
        <f>H11/H5</f>
        <v>0.16000000000000003</v>
      </c>
      <c r="I12" s="44">
        <f t="shared" ref="I12:M12" si="9">I11/I5</f>
        <v>0.15999999999999995</v>
      </c>
      <c r="J12" s="44">
        <f t="shared" si="9"/>
        <v>0.15999999999999989</v>
      </c>
      <c r="K12" s="44">
        <f t="shared" si="9"/>
        <v>0.15999999999999995</v>
      </c>
      <c r="L12" s="44">
        <f t="shared" si="9"/>
        <v>0.15999999999999998</v>
      </c>
      <c r="M12" s="44">
        <f t="shared" si="9"/>
        <v>0.16</v>
      </c>
      <c r="N12" s="51"/>
    </row>
    <row r="13" spans="1:27" x14ac:dyDescent="0.3">
      <c r="A13" s="52" t="s">
        <v>86</v>
      </c>
      <c r="B13" s="29"/>
      <c r="C13" s="29"/>
      <c r="D13" s="49">
        <f>'Profit &amp; Loss'!I8</f>
        <v>269.76</v>
      </c>
      <c r="E13" s="49">
        <f>'Profit &amp; Loss'!J8</f>
        <v>285.85000000000002</v>
      </c>
      <c r="F13" s="49">
        <f>'Profit &amp; Loss'!K8</f>
        <v>364.77</v>
      </c>
      <c r="G13" s="50"/>
      <c r="H13" s="49">
        <f>'Data Sheet'!L26</f>
        <v>286.66714285714289</v>
      </c>
      <c r="I13" s="49">
        <f>H13</f>
        <v>286.66714285714289</v>
      </c>
      <c r="J13" s="49">
        <f t="shared" ref="J13:M13" si="10">I13</f>
        <v>286.66714285714289</v>
      </c>
      <c r="K13" s="49">
        <f t="shared" si="10"/>
        <v>286.66714285714289</v>
      </c>
      <c r="L13" s="49">
        <f t="shared" si="10"/>
        <v>286.66714285714289</v>
      </c>
      <c r="M13" s="49">
        <f t="shared" si="10"/>
        <v>286.66714285714289</v>
      </c>
      <c r="N13" s="41"/>
    </row>
    <row r="14" spans="1:27" x14ac:dyDescent="0.3">
      <c r="A14" s="28" t="s">
        <v>87</v>
      </c>
      <c r="B14" s="28"/>
      <c r="C14" s="28"/>
      <c r="D14" s="40">
        <f>+D11-D13</f>
        <v>5364.96</v>
      </c>
      <c r="E14" s="40">
        <f>+E11-E13</f>
        <v>5978.1299999999974</v>
      </c>
      <c r="F14" s="40">
        <f>+F11-F13</f>
        <v>8247.2300000000032</v>
      </c>
      <c r="G14" s="50"/>
      <c r="H14" s="40">
        <f t="shared" ref="H14:M14" si="11">+H11-H13</f>
        <v>7466.943161142859</v>
      </c>
      <c r="I14" s="40">
        <f t="shared" si="11"/>
        <v>8087.2319854628549</v>
      </c>
      <c r="J14" s="40">
        <f t="shared" si="11"/>
        <v>8757.1439157284512</v>
      </c>
      <c r="K14" s="40">
        <f t="shared" si="11"/>
        <v>9480.6488004153034</v>
      </c>
      <c r="L14" s="40">
        <f t="shared" si="11"/>
        <v>10262.034075877102</v>
      </c>
      <c r="M14" s="40">
        <f t="shared" si="11"/>
        <v>11105.930173375844</v>
      </c>
      <c r="N14" s="41"/>
    </row>
    <row r="15" spans="1:27" x14ac:dyDescent="0.3">
      <c r="A15" s="42" t="s">
        <v>83</v>
      </c>
      <c r="B15" s="29"/>
      <c r="C15" s="29"/>
      <c r="D15" s="44">
        <f>D14/D5</f>
        <v>0.16186474402702575</v>
      </c>
      <c r="E15" s="44">
        <f t="shared" ref="E15:F15" si="12">E14/E5</f>
        <v>0.16398484942414529</v>
      </c>
      <c r="F15" s="44">
        <f t="shared" si="12"/>
        <v>0.18380100212991057</v>
      </c>
      <c r="G15" s="50"/>
      <c r="H15" s="44">
        <f>H14/H5</f>
        <v>0.15408446632487055</v>
      </c>
      <c r="I15" s="44">
        <f t="shared" ref="I15:M15" si="13">I14/I5</f>
        <v>0.15452265400450971</v>
      </c>
      <c r="J15" s="44">
        <f t="shared" si="13"/>
        <v>0.15492838333750891</v>
      </c>
      <c r="K15" s="44">
        <f t="shared" si="13"/>
        <v>0.15530405864584165</v>
      </c>
      <c r="L15" s="44">
        <f t="shared" si="13"/>
        <v>0.15565190615355709</v>
      </c>
      <c r="M15" s="44">
        <f t="shared" si="13"/>
        <v>0.15597398717921956</v>
      </c>
      <c r="N15" s="51"/>
    </row>
    <row r="16" spans="1:27" x14ac:dyDescent="0.3">
      <c r="A16" s="29" t="s">
        <v>88</v>
      </c>
      <c r="B16" s="29"/>
      <c r="C16" s="53">
        <v>0.26</v>
      </c>
      <c r="D16" s="49">
        <f>D14*$C$16</f>
        <v>1394.8896</v>
      </c>
      <c r="E16" s="49">
        <f t="shared" ref="E16:F16" si="14">E14*$C$16</f>
        <v>1554.3137999999994</v>
      </c>
      <c r="F16" s="49">
        <f t="shared" si="14"/>
        <v>2144.2798000000007</v>
      </c>
      <c r="G16" s="50"/>
      <c r="H16" s="49">
        <f>H14*$C$16</f>
        <v>1941.4052218971435</v>
      </c>
      <c r="I16" s="49">
        <f t="shared" ref="I16:M16" si="15">I14*$C$16</f>
        <v>2102.6803162203423</v>
      </c>
      <c r="J16" s="49">
        <f t="shared" si="15"/>
        <v>2276.8574180893975</v>
      </c>
      <c r="K16" s="49">
        <f t="shared" si="15"/>
        <v>2464.9686881079788</v>
      </c>
      <c r="L16" s="49">
        <f t="shared" si="15"/>
        <v>2668.1288597280463</v>
      </c>
      <c r="M16" s="49">
        <f t="shared" si="15"/>
        <v>2887.5418450777197</v>
      </c>
      <c r="N16" s="41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</row>
    <row r="17" spans="1:14" x14ac:dyDescent="0.3">
      <c r="A17" s="28" t="s">
        <v>89</v>
      </c>
      <c r="B17" s="28"/>
      <c r="C17" s="28"/>
      <c r="D17" s="40">
        <f>D14*(1-$C$16)</f>
        <v>3970.0704000000001</v>
      </c>
      <c r="E17" s="40">
        <f t="shared" ref="E17:F17" si="16">E14*(1-$C$16)</f>
        <v>4423.8161999999984</v>
      </c>
      <c r="F17" s="40">
        <f t="shared" si="16"/>
        <v>6102.950200000002</v>
      </c>
      <c r="G17" s="50"/>
      <c r="H17" s="40">
        <f t="shared" ref="H17:M17" si="17">+H14-H16</f>
        <v>5525.5379392457153</v>
      </c>
      <c r="I17" s="40">
        <f t="shared" si="17"/>
        <v>5984.5516692425126</v>
      </c>
      <c r="J17" s="40">
        <f t="shared" si="17"/>
        <v>6480.2864976390538</v>
      </c>
      <c r="K17" s="40">
        <f t="shared" si="17"/>
        <v>7015.6801123073246</v>
      </c>
      <c r="L17" s="40">
        <f t="shared" si="17"/>
        <v>7593.9052161490554</v>
      </c>
      <c r="M17" s="40">
        <f t="shared" si="17"/>
        <v>8218.3883282981242</v>
      </c>
      <c r="N17" s="41"/>
    </row>
    <row r="18" spans="1:14" x14ac:dyDescent="0.3">
      <c r="A18" s="29"/>
      <c r="B18" s="29"/>
      <c r="C18" s="29"/>
      <c r="D18" s="40"/>
      <c r="E18" s="40"/>
      <c r="F18" s="40"/>
      <c r="G18" s="30"/>
      <c r="H18" s="40"/>
      <c r="I18" s="40"/>
      <c r="J18" s="40"/>
      <c r="K18" s="40"/>
      <c r="L18" s="40"/>
      <c r="M18" s="40"/>
      <c r="N18" s="41"/>
    </row>
    <row r="19" spans="1:14" x14ac:dyDescent="0.3">
      <c r="A19" s="29" t="s">
        <v>90</v>
      </c>
      <c r="B19" s="29"/>
      <c r="C19" s="29"/>
      <c r="D19" s="49">
        <f>D13</f>
        <v>269.76</v>
      </c>
      <c r="E19" s="49">
        <f t="shared" ref="E19:M19" si="18">E13</f>
        <v>285.85000000000002</v>
      </c>
      <c r="F19" s="49">
        <f t="shared" si="18"/>
        <v>364.77</v>
      </c>
      <c r="G19" s="30"/>
      <c r="H19" s="49">
        <f t="shared" si="18"/>
        <v>286.66714285714289</v>
      </c>
      <c r="I19" s="49">
        <f t="shared" si="18"/>
        <v>286.66714285714289</v>
      </c>
      <c r="J19" s="49">
        <f t="shared" si="18"/>
        <v>286.66714285714289</v>
      </c>
      <c r="K19" s="49">
        <f t="shared" si="18"/>
        <v>286.66714285714289</v>
      </c>
      <c r="L19" s="49">
        <f t="shared" si="18"/>
        <v>286.66714285714289</v>
      </c>
      <c r="M19" s="49">
        <f t="shared" si="18"/>
        <v>286.66714285714289</v>
      </c>
      <c r="N19" s="41"/>
    </row>
    <row r="20" spans="1:14" x14ac:dyDescent="0.3">
      <c r="A20" s="29" t="s">
        <v>91</v>
      </c>
      <c r="B20" s="29"/>
      <c r="C20" s="54"/>
      <c r="D20" s="49">
        <f>'Balance Sheet'!I11</f>
        <v>77.209999999999994</v>
      </c>
      <c r="E20" s="49">
        <f>'Balance Sheet'!J11</f>
        <v>85.27</v>
      </c>
      <c r="F20" s="49">
        <f>'Balance Sheet'!K11</f>
        <v>35.1</v>
      </c>
      <c r="G20" s="30"/>
      <c r="H20" s="49">
        <f>40</f>
        <v>40</v>
      </c>
      <c r="I20" s="49">
        <f>H20</f>
        <v>40</v>
      </c>
      <c r="J20" s="49">
        <f t="shared" ref="J20:M20" si="19">H20</f>
        <v>40</v>
      </c>
      <c r="K20" s="49">
        <f t="shared" si="19"/>
        <v>40</v>
      </c>
      <c r="L20" s="49">
        <f t="shared" si="19"/>
        <v>40</v>
      </c>
      <c r="M20" s="49">
        <f t="shared" si="19"/>
        <v>40</v>
      </c>
      <c r="N20" s="41"/>
    </row>
    <row r="21" spans="1:14" x14ac:dyDescent="0.3">
      <c r="A21" s="29" t="s">
        <v>92</v>
      </c>
      <c r="B21" s="29"/>
      <c r="C21" s="29"/>
      <c r="D21" s="29">
        <f>'Balance Sheet'!I26</f>
        <v>410.32999999999993</v>
      </c>
      <c r="E21" s="29">
        <f>'Balance Sheet'!J26</f>
        <v>-1059.6900000000005</v>
      </c>
      <c r="F21" s="29">
        <f>'Balance Sheet'!K26</f>
        <v>-840.35000000000036</v>
      </c>
      <c r="G21" s="29"/>
      <c r="H21">
        <v>639.70756695637124</v>
      </c>
      <c r="I21">
        <v>-1287.1769686272828</v>
      </c>
      <c r="J21">
        <v>-1192.4784249186691</v>
      </c>
      <c r="K21">
        <v>385.60339631020463</v>
      </c>
      <c r="L21">
        <v>-1541.2811392734493</v>
      </c>
      <c r="M21">
        <v>-1446.5825955648359</v>
      </c>
      <c r="N21" s="41"/>
    </row>
    <row r="22" spans="1:14" x14ac:dyDescent="0.3">
      <c r="A22" s="29"/>
      <c r="B22" s="29"/>
      <c r="C22" s="29"/>
      <c r="D22" s="29"/>
      <c r="E22" s="29"/>
      <c r="F22" s="29"/>
      <c r="G22" s="29"/>
      <c r="H22" s="49"/>
      <c r="I22" s="49"/>
      <c r="J22" s="49"/>
      <c r="K22" s="49"/>
      <c r="L22" s="49"/>
      <c r="M22" s="49"/>
      <c r="N22" s="41"/>
    </row>
    <row r="23" spans="1:14" x14ac:dyDescent="0.3">
      <c r="A23" s="28" t="s">
        <v>93</v>
      </c>
      <c r="B23" s="28"/>
      <c r="C23" s="28"/>
      <c r="D23" s="49">
        <f>+D17+SUM(D19:D21)</f>
        <v>4727.3703999999998</v>
      </c>
      <c r="E23" s="49">
        <f t="shared" ref="E23:F23" si="20">+E17+SUM(E19:E21)</f>
        <v>3735.2461999999978</v>
      </c>
      <c r="F23" s="49">
        <f t="shared" si="20"/>
        <v>5662.4702000000016</v>
      </c>
      <c r="G23" s="28"/>
      <c r="H23" s="49">
        <f>+H17+SUM(H19:H21)</f>
        <v>6491.9126490592298</v>
      </c>
      <c r="I23" s="49">
        <f t="shared" ref="I23:M23" si="21">+I17+SUM(I19:I21)</f>
        <v>5024.0418434723724</v>
      </c>
      <c r="J23" s="49">
        <f t="shared" si="21"/>
        <v>5614.4752155775277</v>
      </c>
      <c r="K23" s="49">
        <f t="shared" si="21"/>
        <v>7727.9506514746718</v>
      </c>
      <c r="L23" s="49">
        <f t="shared" si="21"/>
        <v>6379.2912197327487</v>
      </c>
      <c r="M23" s="49">
        <f t="shared" si="21"/>
        <v>7098.4728755904307</v>
      </c>
      <c r="N23" s="41"/>
    </row>
    <row r="24" spans="1:14" x14ac:dyDescent="0.3">
      <c r="A24" s="52" t="s">
        <v>94</v>
      </c>
      <c r="B24" s="28"/>
      <c r="C24" s="28"/>
      <c r="D24" s="55">
        <f>C35</f>
        <v>7.9916925052569907E-2</v>
      </c>
      <c r="E24" s="28"/>
      <c r="F24" s="29"/>
      <c r="G24" s="29"/>
      <c r="H24" s="56"/>
      <c r="I24" s="57"/>
      <c r="J24" s="57"/>
      <c r="K24" s="57"/>
      <c r="L24" s="57"/>
      <c r="M24" s="57"/>
      <c r="N24" s="41"/>
    </row>
    <row r="25" spans="1:14" x14ac:dyDescent="0.3">
      <c r="A25" s="52" t="s">
        <v>95</v>
      </c>
      <c r="B25" s="28"/>
      <c r="C25" s="28"/>
      <c r="D25" s="58"/>
      <c r="E25" s="28"/>
      <c r="F25" s="28"/>
      <c r="G25" s="28"/>
      <c r="H25" s="56">
        <v>1</v>
      </c>
      <c r="I25" s="57">
        <v>2</v>
      </c>
      <c r="J25" s="56">
        <v>3</v>
      </c>
      <c r="K25" s="57">
        <v>4</v>
      </c>
      <c r="L25" s="56">
        <v>5</v>
      </c>
      <c r="M25" s="57">
        <v>6</v>
      </c>
      <c r="N25" s="41"/>
    </row>
    <row r="26" spans="1:14" x14ac:dyDescent="0.3">
      <c r="A26" s="52" t="s">
        <v>96</v>
      </c>
      <c r="B26" s="29"/>
      <c r="C26" s="29"/>
      <c r="D26" s="29"/>
      <c r="E26" s="29"/>
      <c r="F26" s="29"/>
      <c r="G26" s="29"/>
      <c r="H26" s="59">
        <f>1/((1+$D$24)^(H25))</f>
        <v>0.92599715478236477</v>
      </c>
      <c r="I26" s="59">
        <f t="shared" ref="I26:M26" si="22">1/((1+$D$24)^(I25))</f>
        <v>0.85747073066503476</v>
      </c>
      <c r="J26" s="59">
        <f t="shared" si="22"/>
        <v>0.79401545690497766</v>
      </c>
      <c r="K26" s="59">
        <f t="shared" si="22"/>
        <v>0.73525605394722859</v>
      </c>
      <c r="L26" s="59">
        <f t="shared" si="22"/>
        <v>0.68084501399164254</v>
      </c>
      <c r="M26" s="59">
        <f t="shared" si="22"/>
        <v>0.63046054580402044</v>
      </c>
      <c r="N26" s="60"/>
    </row>
    <row r="27" spans="1:14" x14ac:dyDescent="0.3">
      <c r="A27" s="61" t="s">
        <v>97</v>
      </c>
      <c r="B27" s="62"/>
      <c r="C27" s="62"/>
      <c r="D27" s="63"/>
      <c r="E27" s="62"/>
      <c r="F27" s="62"/>
      <c r="G27" s="62"/>
      <c r="H27" s="64">
        <f t="shared" ref="H27:M27" si="23">+H23*H26</f>
        <v>6011.4926421244918</v>
      </c>
      <c r="I27" s="64">
        <f t="shared" si="23"/>
        <v>4307.9688304139636</v>
      </c>
      <c r="J27" s="64">
        <f t="shared" si="23"/>
        <v>4457.980103578464</v>
      </c>
      <c r="K27" s="64">
        <f t="shared" si="23"/>
        <v>5682.0225011021812</v>
      </c>
      <c r="L27" s="64">
        <f t="shared" si="23"/>
        <v>4343.3086197557059</v>
      </c>
      <c r="M27" s="64">
        <f t="shared" si="23"/>
        <v>4475.3070835197777</v>
      </c>
      <c r="N27" s="65"/>
    </row>
    <row r="28" spans="1:14" x14ac:dyDescent="0.3">
      <c r="A28" s="28"/>
      <c r="B28" s="29"/>
      <c r="C28" s="29"/>
      <c r="D28" s="66"/>
      <c r="E28" s="29"/>
      <c r="F28" s="29"/>
      <c r="G28" s="29"/>
      <c r="H28" s="67"/>
      <c r="I28" s="28"/>
      <c r="J28" s="28"/>
      <c r="K28" s="28"/>
      <c r="L28" s="28"/>
      <c r="M28" s="28"/>
      <c r="N28" s="28"/>
    </row>
    <row r="29" spans="1:14" ht="15.6" x14ac:dyDescent="0.3">
      <c r="A29" s="68"/>
      <c r="B29" s="69"/>
      <c r="C29" s="70" t="s">
        <v>98</v>
      </c>
      <c r="D29" s="71"/>
      <c r="E29" s="72"/>
      <c r="F29" s="72"/>
      <c r="G29" s="29"/>
      <c r="H29" s="67"/>
      <c r="I29" s="28"/>
      <c r="J29" s="28"/>
      <c r="K29" s="28"/>
      <c r="L29" s="28"/>
      <c r="M29" s="28"/>
      <c r="N29" s="28"/>
    </row>
    <row r="30" spans="1:14" x14ac:dyDescent="0.3">
      <c r="A30" s="28"/>
      <c r="B30" s="29"/>
      <c r="C30" s="29"/>
      <c r="D30" s="66"/>
      <c r="E30" s="29"/>
      <c r="F30" s="29"/>
      <c r="G30" s="29"/>
      <c r="H30" s="67"/>
      <c r="I30" s="28"/>
      <c r="J30" s="28"/>
      <c r="K30" s="28"/>
      <c r="L30" s="28"/>
      <c r="M30" s="28"/>
      <c r="N30" s="28"/>
    </row>
    <row r="31" spans="1:14" x14ac:dyDescent="0.3">
      <c r="A31" s="28" t="s">
        <v>99</v>
      </c>
      <c r="B31" s="29"/>
      <c r="C31" s="73">
        <v>0.06</v>
      </c>
      <c r="D31" s="66" t="s">
        <v>100</v>
      </c>
      <c r="E31" s="74"/>
      <c r="F31" s="74">
        <v>0.63</v>
      </c>
      <c r="G31" s="29"/>
      <c r="H31" s="67"/>
      <c r="I31" s="28"/>
      <c r="J31" s="28"/>
      <c r="K31" s="28"/>
      <c r="L31" s="28"/>
      <c r="M31" s="28"/>
      <c r="N31" s="28"/>
    </row>
    <row r="32" spans="1:14" x14ac:dyDescent="0.3">
      <c r="A32" s="28" t="s">
        <v>101</v>
      </c>
      <c r="B32" s="29"/>
      <c r="C32" s="75">
        <f>11%-C31</f>
        <v>0.05</v>
      </c>
      <c r="D32" s="76" t="s">
        <v>102</v>
      </c>
      <c r="E32" s="29"/>
      <c r="F32" s="73">
        <f>'Data Sheet'!K27*(1-0.26)/'Data Sheet'!K59</f>
        <v>2.3364265015117115E-2</v>
      </c>
      <c r="G32" s="29"/>
      <c r="H32" s="67"/>
      <c r="I32" s="29"/>
      <c r="J32" s="29"/>
      <c r="K32" s="29"/>
      <c r="L32" s="29"/>
      <c r="M32" s="29"/>
      <c r="N32" s="29"/>
    </row>
    <row r="33" spans="1:14" x14ac:dyDescent="0.3">
      <c r="A33" s="28" t="s">
        <v>103</v>
      </c>
      <c r="B33" s="29"/>
      <c r="C33" s="75">
        <v>0.17</v>
      </c>
      <c r="D33" s="76" t="s">
        <v>104</v>
      </c>
      <c r="E33" s="29"/>
      <c r="F33" s="75">
        <f>1-C33</f>
        <v>0.83</v>
      </c>
      <c r="G33" s="29"/>
      <c r="H33" s="67"/>
      <c r="I33" s="29"/>
      <c r="J33" s="29"/>
      <c r="K33" s="29"/>
      <c r="L33" s="29"/>
      <c r="M33" s="29"/>
      <c r="N33" s="29"/>
    </row>
    <row r="34" spans="1:14" x14ac:dyDescent="0.3">
      <c r="A34" s="28" t="s">
        <v>105</v>
      </c>
      <c r="B34" s="29"/>
      <c r="C34" s="77">
        <f>C31+(F31*C32)</f>
        <v>9.1499999999999998E-2</v>
      </c>
      <c r="D34" s="76"/>
      <c r="E34" s="29"/>
      <c r="F34" s="29"/>
      <c r="G34" s="29"/>
      <c r="H34" s="67"/>
      <c r="I34" s="29"/>
      <c r="J34" s="29"/>
      <c r="K34" s="29"/>
      <c r="L34" s="29"/>
      <c r="M34" s="29"/>
      <c r="N34" s="29"/>
    </row>
    <row r="35" spans="1:14" x14ac:dyDescent="0.3">
      <c r="A35" s="28" t="s">
        <v>106</v>
      </c>
      <c r="B35" s="29"/>
      <c r="C35" s="77">
        <f>(C33*F32)+(F33*C34)</f>
        <v>7.9916925052569907E-2</v>
      </c>
      <c r="D35" s="76"/>
      <c r="E35" s="29"/>
      <c r="F35" s="29"/>
      <c r="G35" s="29"/>
      <c r="H35" s="67"/>
      <c r="I35" s="29"/>
      <c r="J35" s="29"/>
      <c r="K35" s="29"/>
      <c r="L35" s="29"/>
      <c r="M35" s="29"/>
      <c r="N35" s="29"/>
    </row>
    <row r="36" spans="1:14" x14ac:dyDescent="0.3">
      <c r="A36" s="28"/>
      <c r="B36" s="29"/>
      <c r="C36" s="75"/>
      <c r="D36" s="76"/>
      <c r="E36" s="29"/>
      <c r="F36" s="29"/>
      <c r="G36" s="29"/>
      <c r="H36" s="67"/>
      <c r="I36" s="29"/>
      <c r="J36" s="29"/>
      <c r="K36" s="29"/>
      <c r="L36" s="29"/>
      <c r="M36" s="29"/>
      <c r="N36" s="29"/>
    </row>
    <row r="37" spans="1:14" x14ac:dyDescent="0.3">
      <c r="A37" s="29"/>
      <c r="B37" s="29"/>
      <c r="C37" s="29"/>
      <c r="D37" s="29"/>
      <c r="E37" s="29"/>
      <c r="F37" s="29"/>
      <c r="G37" s="29"/>
      <c r="H37" s="67"/>
      <c r="I37" s="29"/>
      <c r="J37" s="29"/>
      <c r="K37" s="78"/>
      <c r="L37" s="29"/>
      <c r="M37" s="29"/>
      <c r="N37" s="29"/>
    </row>
    <row r="38" spans="1:14" x14ac:dyDescent="0.3">
      <c r="A38" s="79" t="s">
        <v>107</v>
      </c>
      <c r="B38" s="79"/>
      <c r="C38" s="79"/>
      <c r="D38" s="79"/>
      <c r="E38" s="67"/>
      <c r="F38" s="104" t="s">
        <v>108</v>
      </c>
      <c r="G38" s="104"/>
      <c r="H38" s="104"/>
      <c r="I38" s="104"/>
      <c r="J38" s="67"/>
      <c r="K38" s="79" t="s">
        <v>109</v>
      </c>
      <c r="L38" s="79"/>
      <c r="M38" s="79"/>
      <c r="N38" s="79"/>
    </row>
    <row r="39" spans="1:14" x14ac:dyDescent="0.3">
      <c r="A39" s="26" t="s">
        <v>110</v>
      </c>
      <c r="B39" s="26"/>
      <c r="C39" s="26"/>
      <c r="D39" s="26">
        <f>+SUM(H27:M27)</f>
        <v>29278.079780494583</v>
      </c>
      <c r="E39" s="29"/>
      <c r="F39" s="29" t="s">
        <v>107</v>
      </c>
      <c r="G39" s="29"/>
      <c r="H39" s="67"/>
      <c r="I39" s="40">
        <f>+D48</f>
        <v>222171.39534798919</v>
      </c>
      <c r="J39" s="29"/>
      <c r="K39" s="29" t="str">
        <f>"Terminal Year Free Cash Flow ("&amp;M4&amp;"E)"</f>
        <v>Terminal Year Free Cash Flow (2030E)</v>
      </c>
      <c r="L39" s="29"/>
      <c r="M39" s="29"/>
      <c r="N39" s="49">
        <f>+M23</f>
        <v>7098.4728755904307</v>
      </c>
    </row>
    <row r="40" spans="1:14" x14ac:dyDescent="0.3">
      <c r="A40" s="80"/>
      <c r="B40" s="27"/>
      <c r="C40" s="27"/>
      <c r="D40" s="81"/>
      <c r="E40" s="29"/>
      <c r="F40" s="29" t="s">
        <v>111</v>
      </c>
      <c r="G40" s="29"/>
      <c r="H40" s="29"/>
      <c r="I40" s="40">
        <f>'Balance Sheet'!K6</f>
        <v>1911.74</v>
      </c>
      <c r="J40" s="29"/>
      <c r="K40" s="29" t="s">
        <v>112</v>
      </c>
      <c r="L40" s="29"/>
      <c r="M40" s="29"/>
      <c r="N40" s="82">
        <f>+D24</f>
        <v>7.9916925052569907E-2</v>
      </c>
    </row>
    <row r="41" spans="1:14" x14ac:dyDescent="0.3">
      <c r="A41" s="83"/>
      <c r="B41" s="83" t="s">
        <v>113</v>
      </c>
      <c r="C41" s="83"/>
      <c r="D41" s="83"/>
      <c r="E41" s="29"/>
      <c r="F41" s="29" t="s">
        <v>114</v>
      </c>
      <c r="G41" s="29"/>
      <c r="H41" s="29"/>
      <c r="I41" s="99">
        <v>0</v>
      </c>
      <c r="J41" s="29"/>
      <c r="K41" s="29" t="s">
        <v>115</v>
      </c>
      <c r="L41" s="29"/>
      <c r="M41" s="29"/>
      <c r="N41" s="49">
        <f>+D44</f>
        <v>305956.20431965264</v>
      </c>
    </row>
    <row r="42" spans="1:14" x14ac:dyDescent="0.3">
      <c r="A42" s="29" t="str">
        <f>"Terminal Year EBITDA ("&amp;M4&amp;"E)"</f>
        <v>Terminal Year EBITDA (2030E)</v>
      </c>
      <c r="B42" s="84"/>
      <c r="C42" s="84"/>
      <c r="D42" s="40">
        <f>+M11</f>
        <v>11392.597316232986</v>
      </c>
      <c r="E42" s="29"/>
      <c r="F42" s="29" t="s">
        <v>116</v>
      </c>
      <c r="G42" s="29"/>
      <c r="H42" s="29"/>
      <c r="I42" s="40">
        <f>'Data Sheet'!K69</f>
        <v>955.32</v>
      </c>
      <c r="J42" s="29"/>
      <c r="K42" s="30"/>
      <c r="L42" s="30"/>
      <c r="M42" s="30"/>
      <c r="N42" s="49"/>
    </row>
    <row r="43" spans="1:14" x14ac:dyDescent="0.3">
      <c r="A43" s="85" t="s">
        <v>117</v>
      </c>
      <c r="B43" s="85"/>
      <c r="C43" s="85"/>
      <c r="D43" s="86">
        <f>N49</f>
        <v>26.855702508128182</v>
      </c>
      <c r="E43" s="29"/>
      <c r="F43" s="29"/>
      <c r="G43" s="29"/>
      <c r="H43" s="29"/>
      <c r="I43" s="40"/>
      <c r="J43" s="29"/>
      <c r="K43" s="28" t="s">
        <v>118</v>
      </c>
      <c r="L43" s="29"/>
      <c r="M43" s="29"/>
      <c r="N43" s="82">
        <f>(N40-(N39/N41))/(1+(N39/N41))</f>
        <v>5.5429953418551545E-2</v>
      </c>
    </row>
    <row r="44" spans="1:14" x14ac:dyDescent="0.3">
      <c r="A44" s="87" t="s">
        <v>119</v>
      </c>
      <c r="B44" s="87"/>
      <c r="C44" s="87"/>
      <c r="D44" s="40">
        <f>+D42*D43</f>
        <v>305956.20431965264</v>
      </c>
      <c r="E44" s="29"/>
      <c r="F44" s="29"/>
      <c r="G44" s="29"/>
      <c r="H44" s="29"/>
      <c r="I44" s="29" t="s">
        <v>120</v>
      </c>
      <c r="J44" s="29"/>
      <c r="K44" s="29"/>
      <c r="L44" s="29"/>
      <c r="M44" s="29"/>
      <c r="N44" s="49"/>
    </row>
    <row r="45" spans="1:14" x14ac:dyDescent="0.3">
      <c r="A45" s="85" t="s">
        <v>121</v>
      </c>
      <c r="B45" s="85"/>
      <c r="C45" s="85"/>
      <c r="D45" s="88">
        <f>M26</f>
        <v>0.63046054580402044</v>
      </c>
      <c r="E45" s="29"/>
      <c r="F45" s="28" t="s">
        <v>122</v>
      </c>
      <c r="G45" s="29"/>
      <c r="H45" s="29"/>
      <c r="I45" s="89">
        <f>+I39-I40-I41+I42</f>
        <v>221214.97534798921</v>
      </c>
      <c r="J45" s="29"/>
      <c r="K45" s="90" t="s">
        <v>123</v>
      </c>
      <c r="L45" s="91"/>
      <c r="M45" s="91"/>
      <c r="N45" s="49"/>
    </row>
    <row r="46" spans="1:14" x14ac:dyDescent="0.3">
      <c r="A46" s="87" t="s">
        <v>124</v>
      </c>
      <c r="B46" s="87"/>
      <c r="C46" s="87"/>
      <c r="D46" s="40">
        <f>+D44*D45</f>
        <v>192893.3155674946</v>
      </c>
      <c r="E46" s="29"/>
      <c r="F46" s="29"/>
      <c r="G46" s="29"/>
      <c r="H46" s="29"/>
      <c r="I46" s="29"/>
      <c r="J46" s="29"/>
      <c r="K46" s="29" t="str">
        <f>+F39</f>
        <v>Enterprise Value</v>
      </c>
      <c r="L46" s="29"/>
      <c r="M46" s="29"/>
      <c r="N46" s="49">
        <f>'Data Sheet'!B9+'Data Sheet'!K59-'Data Sheet'!K69</f>
        <v>231281.31</v>
      </c>
    </row>
    <row r="47" spans="1:14" x14ac:dyDescent="0.3">
      <c r="A47" s="80"/>
      <c r="B47" s="85"/>
      <c r="C47" s="85"/>
      <c r="D47" s="43"/>
      <c r="E47" s="29"/>
      <c r="F47" s="29" t="s">
        <v>125</v>
      </c>
      <c r="G47" s="29"/>
      <c r="H47" s="29"/>
      <c r="I47" s="40">
        <f>'Data Sheet'!B6</f>
        <v>27.926631100333434</v>
      </c>
      <c r="J47" s="29"/>
      <c r="K47" s="29" t="s">
        <v>126</v>
      </c>
      <c r="L47" s="29"/>
      <c r="M47" s="29"/>
      <c r="N47" s="60">
        <f>F11</f>
        <v>8612.0000000000036</v>
      </c>
    </row>
    <row r="48" spans="1:14" x14ac:dyDescent="0.3">
      <c r="A48" s="87" t="s">
        <v>127</v>
      </c>
      <c r="B48" s="85"/>
      <c r="C48" s="85"/>
      <c r="D48" s="92">
        <f>D46+D39</f>
        <v>222171.39534798919</v>
      </c>
      <c r="E48" s="29"/>
      <c r="F48" s="29"/>
      <c r="G48" s="29"/>
      <c r="H48" s="29"/>
      <c r="I48" s="29"/>
      <c r="J48" s="29"/>
      <c r="K48" s="29"/>
      <c r="L48" s="29"/>
      <c r="M48" s="29"/>
      <c r="N48" s="60"/>
    </row>
    <row r="49" spans="1:14" x14ac:dyDescent="0.3">
      <c r="A49" s="87"/>
      <c r="B49" s="87"/>
      <c r="C49" s="87"/>
      <c r="D49" s="29"/>
      <c r="E49" s="29"/>
      <c r="F49" s="28" t="s">
        <v>128</v>
      </c>
      <c r="G49" s="29"/>
      <c r="H49" s="29"/>
      <c r="I49" s="93">
        <f>+IF(ISERROR(I45/I47),"NA",I45/I47)</f>
        <v>7921.291134373454</v>
      </c>
      <c r="J49" s="29"/>
      <c r="K49" s="28" t="s">
        <v>123</v>
      </c>
      <c r="L49" s="29"/>
      <c r="M49" s="29"/>
      <c r="N49" s="49">
        <f>+IF(ISERROR(N46/N47),"- x",N46/N47)</f>
        <v>26.855702508128182</v>
      </c>
    </row>
    <row r="50" spans="1:14" x14ac:dyDescent="0.3">
      <c r="A50" s="83"/>
      <c r="B50" s="83" t="s">
        <v>129</v>
      </c>
      <c r="C50" s="83"/>
      <c r="D50" s="83"/>
      <c r="E50" s="29"/>
      <c r="F50" s="28"/>
      <c r="G50" s="29"/>
      <c r="H50" s="29"/>
      <c r="I50" s="29"/>
      <c r="J50" s="29"/>
      <c r="K50" s="28"/>
      <c r="L50" s="29"/>
      <c r="M50" s="29"/>
    </row>
    <row r="51" spans="1:14" x14ac:dyDescent="0.3">
      <c r="A51" s="29" t="str">
        <f>"Terminal Year Cash Flow"</f>
        <v>Terminal Year Cash Flow</v>
      </c>
      <c r="B51" s="84"/>
      <c r="C51" s="84"/>
      <c r="D51" s="40">
        <f>+M23</f>
        <v>7098.4728755904307</v>
      </c>
      <c r="E51" s="29"/>
      <c r="F51" s="28" t="s">
        <v>130</v>
      </c>
      <c r="G51" s="29"/>
      <c r="H51" s="29"/>
      <c r="I51" s="94">
        <v>8248</v>
      </c>
      <c r="J51" s="29"/>
      <c r="K51" s="28"/>
      <c r="L51" s="29"/>
      <c r="M51" s="29"/>
    </row>
    <row r="52" spans="1:14" x14ac:dyDescent="0.3">
      <c r="A52" s="85" t="s">
        <v>131</v>
      </c>
      <c r="B52" s="85"/>
      <c r="C52" s="85"/>
      <c r="D52" s="77">
        <f>N43</f>
        <v>5.5429953418551545E-2</v>
      </c>
      <c r="E52" s="29"/>
      <c r="F52" s="28"/>
      <c r="G52" s="29"/>
      <c r="H52" s="29"/>
      <c r="I52" s="29"/>
      <c r="J52" s="29"/>
      <c r="K52" s="28"/>
      <c r="L52" s="29"/>
      <c r="M52" s="29"/>
    </row>
    <row r="53" spans="1:14" x14ac:dyDescent="0.3">
      <c r="A53" s="87" t="s">
        <v>119</v>
      </c>
      <c r="B53" s="87"/>
      <c r="C53" s="87"/>
      <c r="D53" s="40">
        <f>+IF(ISERROR(D51/(D24-D52)),0,D51/(D24-D52))</f>
        <v>289887.74037410674</v>
      </c>
      <c r="E53" s="29"/>
      <c r="F53" s="28"/>
      <c r="G53" s="29"/>
      <c r="H53" s="29"/>
      <c r="I53" s="29"/>
      <c r="J53" s="28"/>
      <c r="K53" s="29"/>
      <c r="L53" s="29"/>
    </row>
    <row r="54" spans="1:14" x14ac:dyDescent="0.3">
      <c r="A54" s="85" t="s">
        <v>121</v>
      </c>
      <c r="B54" s="85"/>
      <c r="C54" s="85"/>
      <c r="D54" s="88">
        <f>M26</f>
        <v>0.63046054580402044</v>
      </c>
      <c r="E54" s="29"/>
      <c r="F54" s="28"/>
      <c r="G54" s="29"/>
      <c r="H54" s="29"/>
      <c r="I54" s="29"/>
      <c r="J54" s="29"/>
      <c r="K54" s="28"/>
      <c r="L54" s="29"/>
      <c r="M54" s="29"/>
    </row>
    <row r="55" spans="1:14" x14ac:dyDescent="0.3">
      <c r="A55" s="87" t="s">
        <v>124</v>
      </c>
      <c r="B55" s="87"/>
      <c r="C55" s="87"/>
      <c r="D55" s="40">
        <f>+D53*D54</f>
        <v>182762.78301815351</v>
      </c>
      <c r="E55" s="29"/>
      <c r="F55" s="28"/>
      <c r="G55" s="29"/>
      <c r="H55" s="29"/>
      <c r="I55" s="29"/>
      <c r="J55" s="29"/>
      <c r="K55" s="28"/>
      <c r="L55" s="29"/>
      <c r="M55" s="29"/>
    </row>
    <row r="56" spans="1:14" x14ac:dyDescent="0.3">
      <c r="A56" s="80"/>
      <c r="B56" s="85"/>
      <c r="C56" s="85"/>
      <c r="D56" s="43"/>
      <c r="E56" s="29"/>
      <c r="F56" s="29"/>
      <c r="G56" s="29"/>
      <c r="H56" s="29"/>
      <c r="I56" s="29"/>
      <c r="J56" s="29"/>
      <c r="K56" s="29"/>
      <c r="L56" s="29"/>
      <c r="M56" s="29"/>
    </row>
    <row r="57" spans="1:14" x14ac:dyDescent="0.3">
      <c r="A57" s="87" t="s">
        <v>132</v>
      </c>
      <c r="B57" s="85"/>
      <c r="C57" s="85"/>
      <c r="D57" s="89">
        <f>D55+D39</f>
        <v>212040.8627986481</v>
      </c>
      <c r="E57" s="29"/>
      <c r="F57" s="29"/>
      <c r="G57" s="29"/>
      <c r="H57" s="29"/>
      <c r="I57" s="29"/>
      <c r="J57" s="29"/>
      <c r="K57" s="29"/>
      <c r="L57" s="29"/>
      <c r="M57" s="29"/>
    </row>
    <row r="60" spans="1:14" x14ac:dyDescent="0.3">
      <c r="A60" s="95" t="s">
        <v>133</v>
      </c>
      <c r="B60" s="95"/>
      <c r="C60" s="95"/>
    </row>
  </sheetData>
  <mergeCells count="2">
    <mergeCell ref="I3:M3"/>
    <mergeCell ref="F38:I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67EF-CD9C-4108-BCAC-668820DD810A}">
  <sheetPr>
    <tabColor rgb="FF92D050"/>
  </sheetPr>
  <dimension ref="A1:E16"/>
  <sheetViews>
    <sheetView tabSelected="1" zoomScaleNormal="100" workbookViewId="0">
      <selection activeCell="I27" sqref="I27"/>
    </sheetView>
  </sheetViews>
  <sheetFormatPr defaultRowHeight="14.4" x14ac:dyDescent="0.3"/>
  <cols>
    <col min="1" max="1" width="10" customWidth="1"/>
    <col min="2" max="2" width="9.5546875" bestFit="1" customWidth="1"/>
    <col min="3" max="3" width="9.88671875" customWidth="1"/>
    <col min="4" max="4" width="24" customWidth="1"/>
    <col min="5" max="5" width="24.109375" customWidth="1"/>
  </cols>
  <sheetData>
    <row r="1" spans="1:5" x14ac:dyDescent="0.3">
      <c r="A1" t="s">
        <v>135</v>
      </c>
      <c r="B1" t="s">
        <v>136</v>
      </c>
      <c r="C1" t="s">
        <v>137</v>
      </c>
      <c r="D1" t="s">
        <v>138</v>
      </c>
      <c r="E1" t="s">
        <v>139</v>
      </c>
    </row>
    <row r="2" spans="1:5" x14ac:dyDescent="0.3">
      <c r="A2" s="98">
        <v>42460</v>
      </c>
      <c r="B2" s="97">
        <v>1473.5800000000004</v>
      </c>
    </row>
    <row r="3" spans="1:5" x14ac:dyDescent="0.3">
      <c r="A3" s="98">
        <v>42825</v>
      </c>
      <c r="B3" s="97">
        <v>-537.5600000000004</v>
      </c>
    </row>
    <row r="4" spans="1:5" x14ac:dyDescent="0.3">
      <c r="A4" s="98">
        <v>43190</v>
      </c>
      <c r="B4" s="97">
        <v>-738.82999999999947</v>
      </c>
    </row>
    <row r="5" spans="1:5" x14ac:dyDescent="0.3">
      <c r="A5" s="98">
        <v>43555</v>
      </c>
      <c r="B5" s="97">
        <v>1226.8800000000001</v>
      </c>
    </row>
    <row r="6" spans="1:5" x14ac:dyDescent="0.3">
      <c r="A6" s="98">
        <v>43921</v>
      </c>
      <c r="B6" s="97">
        <v>-828.64000000000124</v>
      </c>
    </row>
    <row r="7" spans="1:5" x14ac:dyDescent="0.3">
      <c r="A7" s="98">
        <v>44286</v>
      </c>
      <c r="B7" s="97">
        <v>909.83000000000084</v>
      </c>
    </row>
    <row r="8" spans="1:5" x14ac:dyDescent="0.3">
      <c r="A8" s="98">
        <v>44651</v>
      </c>
      <c r="B8" s="97">
        <v>410.32999999999993</v>
      </c>
    </row>
    <row r="9" spans="1:5" x14ac:dyDescent="0.3">
      <c r="A9" s="98">
        <v>45016</v>
      </c>
      <c r="B9" s="97">
        <v>-1059.6900000000005</v>
      </c>
    </row>
    <row r="10" spans="1:5" x14ac:dyDescent="0.3">
      <c r="A10" s="98">
        <v>45382</v>
      </c>
      <c r="B10" s="97">
        <v>-840.35000000000036</v>
      </c>
      <c r="C10" s="97">
        <v>-840.35000000000036</v>
      </c>
      <c r="D10" s="97">
        <v>-840.35000000000036</v>
      </c>
      <c r="E10" s="97">
        <v>-840.35000000000036</v>
      </c>
    </row>
    <row r="11" spans="1:5" x14ac:dyDescent="0.3">
      <c r="A11" s="98">
        <v>45747</v>
      </c>
      <c r="C11" s="97">
        <f t="shared" ref="C11:C16" si="0">_xlfn.FORECAST.ETS(A11,$B$2:$B$10,$A$2:$A$10,1,1)</f>
        <v>639.70756695637124</v>
      </c>
      <c r="D11" s="97">
        <f t="shared" ref="D11:D16" si="1">C11-_xlfn.FORECAST.ETS.CONFINT(A11,$B$2:$B$10,$A$2:$A$10,0.95,1,1)</f>
        <v>-620.53077227381868</v>
      </c>
      <c r="E11" s="97">
        <f t="shared" ref="E11:E16" si="2">C11+_xlfn.FORECAST.ETS.CONFINT(A11,$B$2:$B$10,$A$2:$A$10,0.95,1,1)</f>
        <v>1899.9459061865612</v>
      </c>
    </row>
    <row r="12" spans="1:5" x14ac:dyDescent="0.3">
      <c r="A12" s="98">
        <v>46112</v>
      </c>
      <c r="C12" s="97">
        <f t="shared" si="0"/>
        <v>-1287.1769686272828</v>
      </c>
      <c r="D12" s="97">
        <f t="shared" si="1"/>
        <v>-2547.4209789172392</v>
      </c>
      <c r="E12" s="97">
        <f t="shared" si="2"/>
        <v>-26.932958337326227</v>
      </c>
    </row>
    <row r="13" spans="1:5" x14ac:dyDescent="0.3">
      <c r="A13" s="98">
        <v>46477</v>
      </c>
      <c r="C13" s="97">
        <f t="shared" si="0"/>
        <v>-1192.4784249186691</v>
      </c>
      <c r="D13" s="97">
        <f t="shared" si="1"/>
        <v>-2452.7325170296444</v>
      </c>
      <c r="E13" s="97">
        <f t="shared" si="2"/>
        <v>67.775667192306173</v>
      </c>
    </row>
    <row r="14" spans="1:5" x14ac:dyDescent="0.3">
      <c r="A14" s="98">
        <v>46843</v>
      </c>
      <c r="C14" s="97">
        <f t="shared" si="0"/>
        <v>385.60339631020463</v>
      </c>
      <c r="D14" s="97">
        <f t="shared" si="1"/>
        <v>-885.25496245115198</v>
      </c>
      <c r="E14" s="97">
        <f t="shared" si="2"/>
        <v>1656.4617550715611</v>
      </c>
    </row>
    <row r="15" spans="1:5" x14ac:dyDescent="0.3">
      <c r="A15" s="98">
        <v>47208</v>
      </c>
      <c r="C15" s="97">
        <f t="shared" si="0"/>
        <v>-1541.2811392734493</v>
      </c>
      <c r="D15" s="97">
        <f t="shared" si="1"/>
        <v>-2812.1619925629261</v>
      </c>
      <c r="E15" s="97">
        <f t="shared" si="2"/>
        <v>-270.40028598397248</v>
      </c>
    </row>
    <row r="16" spans="1:5" x14ac:dyDescent="0.3">
      <c r="A16" s="98">
        <v>47573</v>
      </c>
      <c r="C16" s="97">
        <f t="shared" si="0"/>
        <v>-1446.5825955648359</v>
      </c>
      <c r="D16" s="97">
        <f t="shared" si="1"/>
        <v>-2717.4940657667144</v>
      </c>
      <c r="E16" s="97">
        <f t="shared" si="2"/>
        <v>-175.67112536295735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Profit &amp; Loss</vt:lpstr>
      <vt:lpstr>Quarters</vt:lpstr>
      <vt:lpstr>Balance Sheet</vt:lpstr>
      <vt:lpstr>Cash Flow</vt:lpstr>
      <vt:lpstr>Data Sheet</vt:lpstr>
      <vt:lpstr>Valuation</vt:lpstr>
      <vt:lpstr>Forecast working capital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Shivam Raj</cp:lastModifiedBy>
  <cp:lastPrinted>2012-12-06T18:14:13Z</cp:lastPrinted>
  <dcterms:created xsi:type="dcterms:W3CDTF">2012-08-17T09:55:37Z</dcterms:created>
  <dcterms:modified xsi:type="dcterms:W3CDTF">2026-02-05T08:36:03Z</dcterms:modified>
</cp:coreProperties>
</file>